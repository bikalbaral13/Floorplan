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Items" sheetId="3" state="visible" r:id="rId5"/>
    <sheet name="Placements" sheetId="4" state="visible" r:id="rId6"/>
    <sheet name="Families" sheetId="5" state="visible" r:id="rId7"/>
    <sheet name="Materials" sheetId="6" state="visible" r:id="rId8"/>
    <sheet name="Gen_Prompts" sheetId="7" state="visible" r:id="rId9"/>
    <sheet name="Room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<sst xmlns="http://schemas.openxmlformats.org/spreadsheetml/2006/main" count="5500" uniqueCount="2156">
  <si>
    <t xml:space="preserve">RAMANADHAPURAM — First Floor Parametric Modelling Table</t>
  </si>
  <si>
    <t xml:space="preserve">Purpose: one row per item of the rev 3 luxury furnishing table (259 items, 14 spaces). A parametric script reads the Items + Placements sheets and calls the generator named for each family to build the mesh, then places every instance.</t>
  </si>
  <si>
    <t xml:space="preserve">UNITS &amp; AXES</t>
  </si>
  <si>
    <t xml:space="preserve">All dimensions and positions in millimetres. X/Y = plan coordinates on the same grid as the ground floor (origin = building bottom-left outer corner, X east, Y north).</t>
  </si>
  <si>
    <t xml:space="preserve">Z is measured from the first-floor finished floor level (FFL = 0). Assumption: FF FFL = +3348 mm above GF FFL (top of the 300 mm GF roof slab); add the screed / finish build-up in the script (FFL_OFFSET).</t>
  </si>
  <si>
    <t xml:space="preserve">Rot_Z_deg: rotation of the item about Z so its front faces the listed direction. Convention: local front = +Y; N = 0°, W = 90°, S = 180°, E = 270°. "—" = symmetric / no front.</t>
  </si>
  <si>
    <t xml:space="preserve">Pivot rule (UE ready): floor items = bottom-centre; wall items = back-centre on the wall face; ceiling items = top-centre at the mount point; room-wide finishes = room polygon.</t>
  </si>
  <si>
    <t xml:space="preserve">SHEETS</t>
  </si>
  <si>
    <t xml:space="preserve">Items — 259 rows, exact rev 3 wording, family, generator, size, parameters (JSON), materials, position, orientation, detailed build description, UE naming, Nanite / LOD guidance.</t>
  </si>
  <si>
    <t xml:space="preserve">Placements — one row per placed instance (items with pairs/sets have several rows) with its own centre and footprint; the script loops this sheet to place meshes.</t>
  </si>
  <si>
    <t xml:space="preserve">Families — the parametric family library: generator function, host type, default height, default parameters (JSON) and the construction recipe. "Items using" is a live COUNTIF.</t>
  </si>
  <si>
    <t xml:space="preserve">Materials — M_ material library with base colour, roughness, metallic and texture notes. "Used by items" is a live COUNTIF.</t>
  </si>
  <si>
    <t xml:space="preserve">Summary — live COUNTIFS of items per space and category, and the coverage check against the 259-item table.</t>
  </si>
  <si>
    <t xml:space="preserve">HOW TO EDIT</t>
  </si>
  <si>
    <t xml:space="preserve">Blue text = editable inputs (sizes, Z, rotation, parameters). Black = reference / descriptive. Change a size or a parameter here and re-run the script; do not edit Item_Code, Space or Item wording (they map back to the furnishing table and layout set).</t>
  </si>
  <si>
    <t xml:space="preserve">Params_JSON must stay valid JSON. Mesh_Asset groups identical items so the script builds the mesh once and instances it (same family + size + parameters).</t>
  </si>
  <si>
    <t xml:space="preserve">SCRIPT CONTRACT (pseudo-code)</t>
  </si>
  <si>
    <t xml:space="preserve">for row in Items: params = FAMILY_DEFAULTS[row.Family] ∪ json(row.Params_JSON) ∪ {L, W, H, materials}; mesh = cache[row.Mesh_Asset] or GENERATORS[row.Generator](params)</t>
  </si>
  <si>
    <t xml:space="preserve">for p in Placements where p.Item_Code == row.Item_Code: place(mesh, x=p.X, y=p.Y, z=FFL+p.Z, rot_z=p.Rot_Z) → object name = UE_Name + _NN, collection = space</t>
  </si>
  <si>
    <t xml:space="preserve">Room-wide finishes (Host = room): apply to the room polygon of the Space (see the layout set) instead of placing a mesh.</t>
  </si>
  <si>
    <t xml:space="preserve">EXAMPLE ROW (UL-05): cream velvet loveseat 1600×850 → family SOFA_LOVESEAT → gen_sofa(L=1600, W=850, H=780, seat_cushions=2, back_tilt_deg=12, plinth_inset=60, gap=4) placed at X 5575, Y 6300, Z 0, Rot_Z 270 (faces E toward the void).</t>
  </si>
  <si>
    <t xml:space="preserve">SOURCES</t>
  </si>
  <si>
    <t xml:space="preserve">Items &amp; wording: RMD_FF_Unified_Furnishing_Table_rev3_Luxury.pdf · positions &amp; footprints: RMD_FF_Furnishing_Layout_Set_rev2.pdf (plan traced from the client screenshot, ±20 mm). Heights and parameter defaults are design assumptions — adjust in blue cells.</t>
  </si>
  <si>
    <t xml:space="preserve">Space</t>
  </si>
  <si>
    <t xml:space="preserve">Furniture</t>
  </si>
  <si>
    <t xml:space="preserve">Décor</t>
  </si>
  <si>
    <t xml:space="preserve">Finish</t>
  </si>
  <si>
    <t xml:space="preserve">Lighting / textile</t>
  </si>
  <si>
    <t xml:space="preserve">Total (live)</t>
  </si>
  <si>
    <t xml:space="preserve">Rev 3 table items</t>
  </si>
  <si>
    <t xml:space="preserve">Check</t>
  </si>
  <si>
    <t xml:space="preserve">Upper lounge</t>
  </si>
  <si>
    <t xml:space="preserve">Void over GF lounge</t>
  </si>
  <si>
    <t xml:space="preserve">Master bedroom</t>
  </si>
  <si>
    <t xml:space="preserve">Master walk-in wardrobe</t>
  </si>
  <si>
    <t xml:space="preserve">Master toilet</t>
  </si>
  <si>
    <t xml:space="preserve">Bedroom-1</t>
  </si>
  <si>
    <t xml:space="preserve">Bedroom-1 walk-in wardrobe</t>
  </si>
  <si>
    <t xml:space="preserve">Bedroom-1 toilet</t>
  </si>
  <si>
    <t xml:space="preserve">Bedroom-2 (+ vestibule)</t>
  </si>
  <si>
    <t xml:space="preserve">Bedroom-2 toilet</t>
  </si>
  <si>
    <t xml:space="preserve">Large balcony</t>
  </si>
  <si>
    <t xml:space="preserve">Small balcony</t>
  </si>
  <si>
    <t xml:space="preserve">Staircase</t>
  </si>
  <si>
    <t xml:space="preserve">Lift lobby (in upper lounge)</t>
  </si>
  <si>
    <t xml:space="preserve">TOTAL</t>
  </si>
  <si>
    <t xml:space="preserve">Instances to place (Placements sheet)</t>
  </si>
  <si>
    <t xml:space="preserve">Unique mesh assets to build</t>
  </si>
  <si>
    <t xml:space="preserve">(distinct Mesh_Asset values — identical items share one mesh)</t>
  </si>
  <si>
    <t xml:space="preserve">"Rev 3 table items" = item count per space in RMD_FF_Unified_Furnishing_Table_rev3_Luxury.pdf (source of truth).</t>
  </si>
  <si>
    <t xml:space="preserve">Item_Code</t>
  </si>
  <si>
    <t xml:space="preserve">Category</t>
  </si>
  <si>
    <t xml:space="preserve">Item (rev 3 wording)</t>
  </si>
  <si>
    <t xml:space="preserve">Family</t>
  </si>
  <si>
    <t xml:space="preserve">Generator</t>
  </si>
  <si>
    <t xml:space="preserve">Host</t>
  </si>
  <si>
    <t xml:space="preserve">Qty</t>
  </si>
  <si>
    <t xml:space="preserve">L_mm</t>
  </si>
  <si>
    <t xml:space="preserve">W_mm</t>
  </si>
  <si>
    <t xml:space="preserve">H_mm</t>
  </si>
  <si>
    <t xml:space="preserve">Pos_X_mm</t>
  </si>
  <si>
    <t xml:space="preserve">Pos_Y_mm</t>
  </si>
  <si>
    <t xml:space="preserve">Pos_Z_mm</t>
  </si>
  <si>
    <t xml:space="preserve">Rot_Z_deg</t>
  </si>
  <si>
    <t xml:space="preserve">Faces</t>
  </si>
  <si>
    <t xml:space="preserve">Params_JSON</t>
  </si>
  <si>
    <t xml:space="preserve">Material_Slots</t>
  </si>
  <si>
    <t xml:space="preserve">Detailed_Description</t>
  </si>
  <si>
    <t xml:space="preserve">Mesh_Asset</t>
  </si>
  <si>
    <t xml:space="preserve">UE_Name</t>
  </si>
  <si>
    <t xml:space="preserve">Nanite</t>
  </si>
  <si>
    <t xml:space="preserve">LOD_Target</t>
  </si>
  <si>
    <t xml:space="preserve">Fit_Note</t>
  </si>
  <si>
    <t xml:space="preserve">UL-01</t>
  </si>
  <si>
    <t xml:space="preserve">Pair of bouclé swivel barrel chairs</t>
  </si>
  <si>
    <t xml:space="preserve">CHAIR_BARREL_SWIVEL</t>
  </si>
  <si>
    <t xml:space="preserve">gen_chair_barrel</t>
  </si>
  <si>
    <t xml:space="preserve">floor</t>
  </si>
  <si>
    <t xml:space="preserve">W</t>
  </si>
  <si>
    <t xml:space="preserve">{"seat_h": 420, "back_h": 760, "shell_t": 90, "base": "swivel disc Ø450", "channels": 0}</t>
  </si>
  <si>
    <t xml:space="preserve">M_Boucle_Grey</t>
  </si>
  <si>
    <t xml:space="preserve">Pair of bouclé swivel barrel chairs. Build: Lathe-swept barrel shell (260° wrap) solidified 90 mm, loose seat cushion, concealed swivel disc base; subdivision level 2. Size: Ø820 × H 760 mm; 2 instance(s); floor-standing. Materials: M_Boucle_Grey.</t>
  </si>
  <si>
    <t xml:space="preserve">SM_FF_CHAIR_BARREL_SWIVEL_820x820x760</t>
  </si>
  <si>
    <t xml:space="preserve">SM_FF_UL_01</t>
  </si>
  <si>
    <t xml:space="preserve">Yes</t>
  </si>
  <si>
    <t xml:space="preserve">20–60k tris (hero)</t>
  </si>
  <si>
    <t xml:space="preserve">UL-02</t>
  </si>
  <si>
    <t xml:space="preserve">Round travertine coffee table Ø700</t>
  </si>
  <si>
    <t xml:space="preserve">TABLE_ROUND</t>
  </si>
  <si>
    <t xml:space="preserve">gen_table_round</t>
  </si>
  <si>
    <t xml:space="preserve">—</t>
  </si>
  <si>
    <t xml:space="preserve">{"top_t": 40, "base": "travertine drum", "edge": "eased 6"}</t>
  </si>
  <si>
    <t xml:space="preserve">M_Travertine</t>
  </si>
  <si>
    <t xml:space="preserve">Round travertine coffee table Ø700. Build: Round top with eased edge on a drum or pedestal base; stone/travertine material with honed finish. Size: Ø700 × H 400 mm; 1 instance(s); floor-standing. Materials: M_Travertine.</t>
  </si>
  <si>
    <t xml:space="preserve">SM_FF_TABLE_ROUND_700x700x400</t>
  </si>
  <si>
    <t xml:space="preserve">SM_FF_UL_02</t>
  </si>
  <si>
    <t xml:space="preserve">UL-03</t>
  </si>
  <si>
    <t xml:space="preserve">Walnut console 1500×350 with solid-brass inlay</t>
  </si>
  <si>
    <t xml:space="preserve">CONSOLE</t>
  </si>
  <si>
    <t xml:space="preserve">gen_console</t>
  </si>
  <si>
    <t xml:space="preserve">{"top_t": 40, "leg": "panel", "inlay": "solid brass", "drawer_count": 0}</t>
  </si>
  <si>
    <t xml:space="preserve">M_Walnut, M_Brass_Brushed</t>
  </si>
  <si>
    <t xml:space="preserve">Walnut console 1500×350 with solid-brass inlay. Build: Wall console: top slab + side panels or brass legs; optional solid-brass inlay strip routed 6 mm into the top; 20 mm wall stand-off. Size: 1500 × 350 × H 800 mm; 1 instance(s); floor-standing. Materials: M_Walnut, M_Brass_Brushed.</t>
  </si>
  <si>
    <t xml:space="preserve">SM_FF_CONSOLE_1500x350x800</t>
  </si>
  <si>
    <t xml:space="preserve">SM_FF_UL_03</t>
  </si>
  <si>
    <t xml:space="preserve">UL-04</t>
  </si>
  <si>
    <t xml:space="preserve">Low walnut bookshelf 1800×350 with bronze-framed glass ends</t>
  </si>
  <si>
    <t xml:space="preserve">BOOKSHELF_LOW</t>
  </si>
  <si>
    <t xml:space="preserve">gen_bookshelf</t>
  </si>
  <si>
    <t xml:space="preserve">{"shelves": 2, "bay_w": 480, "end_panels": "bronze-framed glass", "plinth": 60}</t>
  </si>
  <si>
    <t xml:space="preserve">M_Walnut, M_Bronze_Dark, M_Glass_LowIron</t>
  </si>
  <si>
    <t xml:space="preserve">Low walnut bookshelf 1800×350 with bronze-framed glass ends. Build: Low walnut shelving: carcass 25 mm, adjustable shelves, bronze-framed glass end panels, recessed plinth. Size: 1400 × 350 × H 900 mm; 1 instance(s); floor-standing. Materials: M_Walnut, M_Bronze_Dark, M_Glass_LowIron. Fit note: fitted at 1450 — full length of the solid wall.</t>
  </si>
  <si>
    <t xml:space="preserve">SM_FF_BOOKSHELF_LOW_1400x350x900</t>
  </si>
  <si>
    <t xml:space="preserve">SM_FF_UL_04</t>
  </si>
  <si>
    <t xml:space="preserve">No</t>
  </si>
  <si>
    <t xml:space="preserve">fitted at 1450 — full length of the solid wall</t>
  </si>
  <si>
    <t xml:space="preserve">UL-05</t>
  </si>
  <si>
    <t xml:space="preserve">Cream velvet loveseat 1600×850</t>
  </si>
  <si>
    <t xml:space="preserve">SOFA_LOVESEAT</t>
  </si>
  <si>
    <t xml:space="preserve">gen_sofa</t>
  </si>
  <si>
    <t xml:space="preserve">E</t>
  </si>
  <si>
    <t xml:space="preserve">{"seat_h": 440, "seat_cushions": 2, "back_cushions": 2, "arm_w": 180, "plinth_inset": 60, "piping": true, "crown": 22, "back_tilt_deg": 12, "gap": 4}</t>
  </si>
  <si>
    <t xml:space="preserve">M_Velvet_Cream</t>
  </si>
  <si>
    <t xml:space="preserve">Cream velvet loveseat 1600×850. Build: Same build as the GF sectional: recessed dark-bronze plinth, upholstered deck, frame with rolled top, crowned piped seat cushions, loose back cushions tilted 12°, 4 mm slot gaps, modifiers baked. Size: 1600 × 850 × H 780 mm; 1 instance(s); floor-standing. Materials: M_Velvet_Cream. Fit note: faces the void (keeps the vestibule door clear).</t>
  </si>
  <si>
    <t xml:space="preserve">SM_FF_SOFA_LOVESEAT_1600x850x780</t>
  </si>
  <si>
    <t xml:space="preserve">SM_FF_UL_05</t>
  </si>
  <si>
    <t xml:space="preserve">faces the void (keeps the vestibule door clear)</t>
  </si>
  <si>
    <t xml:space="preserve">UL-06</t>
  </si>
  <si>
    <t xml:space="preserve">Walnut drum side tables ×2 Ø450 with marble tops</t>
  </si>
  <si>
    <t xml:space="preserve">TABLE_DRUM</t>
  </si>
  <si>
    <t xml:space="preserve">gen_table_drum</t>
  </si>
  <si>
    <t xml:space="preserve">{"top_t": 20, "body": "walnut drum", "top_inset": 0}</t>
  </si>
  <si>
    <t xml:space="preserve">M_Walnut, M_Marble_Calacatta</t>
  </si>
  <si>
    <t xml:space="preserve">Walnut drum side tables ×2 Ø450 with marble tops. Build: Cylindrical walnut drum body (vertical grain), marble top slab 20 mm with 2 mm bevel. Size: Ø450 × H 500 mm; 2 instance(s); floor-standing. Materials: M_Walnut, M_Marble_Calacatta.</t>
  </si>
  <si>
    <t xml:space="preserve">SM_FF_TABLE_DRUM_450x450x500</t>
  </si>
  <si>
    <t xml:space="preserve">SM_FF_UL_06</t>
  </si>
  <si>
    <t xml:space="preserve">UL-07</t>
  </si>
  <si>
    <t xml:space="preserve">Pair of bouclé poufs Ø450</t>
  </si>
  <si>
    <t xml:space="preserve">POUF_ROUND</t>
  </si>
  <si>
    <t xml:space="preserve">gen_pouf</t>
  </si>
  <si>
    <t xml:space="preserve">{"bevel": 60, "fabric": "boucle"}</t>
  </si>
  <si>
    <t xml:space="preserve">Pair of bouclé poufs Ø450. Build: Cylindrical pouf with large bevel (60) and subdivision, bouclé normal detail. Size: Ø450 × H 420 mm; 2 instance(s); floor-standing. Materials: M_Boucle_Grey. Fit note: tucked at the console.</t>
  </si>
  <si>
    <t xml:space="preserve">SM_FF_POUF_ROUND_450x450x420</t>
  </si>
  <si>
    <t xml:space="preserve">SM_FF_UL_07</t>
  </si>
  <si>
    <t xml:space="preserve">tucked at the console</t>
  </si>
  <si>
    <t xml:space="preserve">UL-08</t>
  </si>
  <si>
    <t xml:space="preserve">Olive tree 1.8 m in a hand-finished stone planter</t>
  </si>
  <si>
    <t xml:space="preserve">PLANTER_TREE</t>
  </si>
  <si>
    <t xml:space="preserve">gen_planter_tree</t>
  </si>
  <si>
    <t xml:space="preserve">{"pot_h": 600, "species": "olive", "crown_density": "high", "trim_to_room": true}</t>
  </si>
  <si>
    <t xml:space="preserve">M_Travertine, M_Foliage_Olive</t>
  </si>
  <si>
    <t xml:space="preserve">Olive tree 1.8 m in a hand-finished stone planter. Build: Stone planter (tapered cylinder) + branch generator (depth 4–5) with olive leaf cards; geometry trimmed 15 mm off walls / 2.70 m ceiling (same as GF QC). Size: Ø600 × H 1800 mm; 1 instance(s); floor-standing. Materials: M_Travertine, M_Foliage_Olive.</t>
  </si>
  <si>
    <t xml:space="preserve">SM_FF_PLANTER_TREE_600x600x1800</t>
  </si>
  <si>
    <t xml:space="preserve">SM_FF_UL_08</t>
  </si>
  <si>
    <t xml:space="preserve">UL-09</t>
  </si>
  <si>
    <t xml:space="preserve">Abstract art above the console</t>
  </si>
  <si>
    <t xml:space="preserve">ART_FRAME</t>
  </si>
  <si>
    <t xml:space="preserve">gen_art</t>
  </si>
  <si>
    <t xml:space="preserve">wall</t>
  </si>
  <si>
    <t xml:space="preserve">S</t>
  </si>
  <si>
    <t xml:space="preserve">{"frame_w": 30, "frame_d": 40, "canvas_inset": 5, "image": "natural abstract", "centre_h": 1500}</t>
  </si>
  <si>
    <t xml:space="preserve">Abstract art above the console. Build: Framed artwork: walnut frame, canvas plane with image texture slot; wall stand-off 2 mm. Size: 1100 × 40 × H 800 mm; 1 instance(s); wall-mounted, faces S. Materials: per family default.</t>
  </si>
  <si>
    <t xml:space="preserve">SM_FF_ART_FRAME_1100x40x800</t>
  </si>
  <si>
    <t xml:space="preserve">SM_FF_UL_09</t>
  </si>
  <si>
    <t xml:space="preserve">1–8k tris</t>
  </si>
  <si>
    <t xml:space="preserve">UL-10</t>
  </si>
  <si>
    <t xml:space="preserve">Sculptural vase</t>
  </si>
  <si>
    <t xml:space="preserve">ACCESSORY</t>
  </si>
  <si>
    <t xml:space="preserve">gen_accessory</t>
  </si>
  <si>
    <t xml:space="preserve">host</t>
  </si>
  <si>
    <t xml:space="preserve">auto (drop onto host)</t>
  </si>
  <si>
    <t xml:space="preserve">{"type": "vase", "scatter_on": "host top"}</t>
  </si>
  <si>
    <t xml:space="preserve">M_Ceramic_Matte</t>
  </si>
  <si>
    <t xml:space="preserve">Sculptural vase. Build: Small décor generated from the accessory kit (vase, tray, books, bowl, candles, diffuser, towels…) and dropped onto the host surface at the marked point. Size: 250 × 250 × H 150 mm; 1 instance(s); placed on its host surface. Materials: M_Ceramic_Matte.</t>
  </si>
  <si>
    <t xml:space="preserve">SM_FF_ACCESSORY_250x250x150</t>
  </si>
  <si>
    <t xml:space="preserve">SM_FF_UL_10</t>
  </si>
  <si>
    <t xml:space="preserve">UL-11</t>
  </si>
  <si>
    <t xml:space="preserve">Coffee-table books</t>
  </si>
  <si>
    <t xml:space="preserve">{"type": "books", "scatter_on": "host top"}</t>
  </si>
  <si>
    <t xml:space="preserve">Coffee-table books. Build: Small décor generated from the accessory kit (vase, tray, books, bowl, candles, diffuser, towels…) and dropped onto the host surface at the marked point. Size: 250 × 250 × H 150 mm; 1 instance(s); placed on its host surface. Materials: per family default.</t>
  </si>
  <si>
    <t xml:space="preserve">SM_FF_UL_11</t>
  </si>
  <si>
    <t xml:space="preserve">UL-12</t>
  </si>
  <si>
    <t xml:space="preserve">Gallery wall of 4 limited-edition prints in walnut frames</t>
  </si>
  <si>
    <t xml:space="preserve">N</t>
  </si>
  <si>
    <t xml:space="preserve">M_Walnut</t>
  </si>
  <si>
    <t xml:space="preserve">Gallery wall of 4 limited-edition prints in walnut frames. Build: Framed artwork: walnut frame, canvas plane with image texture slot; wall stand-off 2 mm. Size: 1280 × 40 × H 900 mm; 4 instance(s); wall-mounted, faces N. Materials: M_Walnut.</t>
  </si>
  <si>
    <t xml:space="preserve">SM_FF_ART_FRAME_1280x40x900</t>
  </si>
  <si>
    <t xml:space="preserve">SM_FF_UL_12</t>
  </si>
  <si>
    <t xml:space="preserve">UL-13</t>
  </si>
  <si>
    <t xml:space="preserve">Curated ceramics on the shelves</t>
  </si>
  <si>
    <t xml:space="preserve">{"type": "ceramics", "scatter_on": "host top"}</t>
  </si>
  <si>
    <t xml:space="preserve">Curated ceramics on the shelves. Build: Small décor generated from the accessory kit (vase, tray, books, bowl, candles, diffuser, towels…) and dropped onto the host surface at the marked point. Size: 250 × 250 × H 150 mm; 1 instance(s); placed on its host surface. Materials: M_Ceramic_Matte.</t>
  </si>
  <si>
    <t xml:space="preserve">SM_FF_UL_13</t>
  </si>
  <si>
    <t xml:space="preserve">UL-14</t>
  </si>
  <si>
    <t xml:space="preserve">Brass tray with candles</t>
  </si>
  <si>
    <t xml:space="preserve">{"type": "tray + candles", "scatter_on": "host top"}</t>
  </si>
  <si>
    <t xml:space="preserve">M_Brass_Brushed</t>
  </si>
  <si>
    <t xml:space="preserve">Brass tray with candles. Build: Small décor generated from the accessory kit (vase, tray, books, bowl, candles, diffuser, towels…) and dropped onto the host surface at the marked point. Size: 250 × 250 × H 150 mm; 1 instance(s); placed on its host surface. Materials: M_Brass_Brushed.</t>
  </si>
  <si>
    <t xml:space="preserve">SM_FF_UL_14</t>
  </si>
  <si>
    <t xml:space="preserve">UL-15</t>
  </si>
  <si>
    <t xml:space="preserve">Travertine bowl</t>
  </si>
  <si>
    <t xml:space="preserve">{"type": "bowl", "scatter_on": "host top"}</t>
  </si>
  <si>
    <t xml:space="preserve">Travertine bowl. Build: Small décor generated from the accessory kit (vase, tray, books, bowl, candles, diffuser, towels…) and dropped onto the host surface at the marked point. Size: 250 × 250 × H 150 mm; 1 instance(s); placed on its host surface. Materials: M_Travertine.</t>
  </si>
  <si>
    <t xml:space="preserve">SM_FF_UL_15</t>
  </si>
  <si>
    <t xml:space="preserve">UL-16</t>
  </si>
  <si>
    <t xml:space="preserve">White ogee panels</t>
  </si>
  <si>
    <t xml:space="preserve">WALL_PANEL_OGEE</t>
  </si>
  <si>
    <t xml:space="preserve">gen_ogee_panels</t>
  </si>
  <si>
    <t xml:space="preserve">{"profile": "40×20 ogee", "dado_h": 880, "skirting_h": 120, "cornice_h": 150, "panel_w": "auto 600–900"}</t>
  </si>
  <si>
    <t xml:space="preserve">M_Paint_WarmWhite</t>
  </si>
  <si>
    <t xml:space="preserve">White ogee panels. Build: Ogee picture-frame moulding system (same profile as GF dining) laid out per wall face with skirting, dado and cornice. Size: room 5049 × 3718 × H 2550 mm; 1 instance(s); wall-mounted, faces —. Materials: M_Paint_WarmWhite.</t>
  </si>
  <si>
    <t xml:space="preserve">SM_FF_UL_WALL_PANEL_OGEE</t>
  </si>
  <si>
    <t xml:space="preserve">SM_FF_UL_16</t>
  </si>
  <si>
    <t xml:space="preserve">procedural / per-room</t>
  </si>
  <si>
    <t xml:space="preserve">UL-17</t>
  </si>
  <si>
    <t xml:space="preserve">Honed Italian light-stone floor</t>
  </si>
  <si>
    <t xml:space="preserve">FINISH_FLOOR</t>
  </si>
  <si>
    <t xml:space="preserve">gen_floor_finish</t>
  </si>
  <si>
    <t xml:space="preserve">room</t>
  </si>
  <si>
    <t xml:space="preserve">{"pattern": "honed stone 1200×600", "grout": 2}</t>
  </si>
  <si>
    <t xml:space="preserve">M_Stone_LightHoned, M_Travertine</t>
  </si>
  <si>
    <t xml:space="preserve">Honed Italian light-stone floor. Build: Room-polygon floor finish (herringbone / large-format stone / deck boards) with pattern-aware UVs. Size: room 5049 × 3718 × H 15 mm; 1 instance(s); applied to the whole room. Materials: M_Stone_LightHoned, M_Travertine.</t>
  </si>
  <si>
    <t xml:space="preserve">SM_FF_UL_FINISH_FLOOR</t>
  </si>
  <si>
    <t xml:space="preserve">SM_FF_UL_17</t>
  </si>
  <si>
    <t xml:space="preserve">UL-18</t>
  </si>
  <si>
    <t xml:space="preserve">Glass balustrade with dark-bronze cap</t>
  </si>
  <si>
    <t xml:space="preserve">BALUSTRADE_GLASS</t>
  </si>
  <si>
    <t xml:space="preserve">gen_balustrade</t>
  </si>
  <si>
    <t xml:space="preserve">{"glass": "low-iron 13.5 laminated", "cap": "dark bronze", "clamp": "bronze"}</t>
  </si>
  <si>
    <t xml:space="preserve">M_Bronze_Dark, M_Glass_LowIron</t>
  </si>
  <si>
    <t xml:space="preserve">Glass balustrade with dark-bronze cap. Build: Frameless glass balustrade with bronze cap rail/handrail and clamps. Size: 3718 × 35 × H 1100 mm; 1 instance(s); floor-standing. Materials: M_Bronze_Dark, M_Glass_LowIron.</t>
  </si>
  <si>
    <t xml:space="preserve">SM_FF_BALUSTRADE_GLASS_3720x40x1100</t>
  </si>
  <si>
    <t xml:space="preserve">SM_FF_UL_18</t>
  </si>
  <si>
    <t xml:space="preserve">UL-19</t>
  </si>
  <si>
    <t xml:space="preserve">Walnut slatted feature panel</t>
  </si>
  <si>
    <t xml:space="preserve">WALL_FEATURE_PANEL</t>
  </si>
  <si>
    <t xml:space="preserve">gen_feature_panel</t>
  </si>
  <si>
    <t xml:space="preserve">{"type": "walnut slats", "module": 60, "depth": 40}</t>
  </si>
  <si>
    <t xml:space="preserve">Walnut slatted feature panel. Build: Feature wall panel: walnut slats (module 60 / gap 15), fluted walnut, upholstered fabric panels or marble slabs with bronze trims. Size: 1637 × 27 × H 2700 mm; 1 instance(s); wall-mounted, faces S. Materials: M_Walnut.</t>
  </si>
  <si>
    <t xml:space="preserve">SM_FF_WALL_FEATURE_PANEL_1640x30x2700</t>
  </si>
  <si>
    <t xml:space="preserve">SM_FF_UL_19</t>
  </si>
  <si>
    <t xml:space="preserve">UL-20</t>
  </si>
  <si>
    <t xml:space="preserve">Tray ceiling with stepped cornice</t>
  </si>
  <si>
    <t xml:space="preserve">CEILING_TRAY</t>
  </si>
  <si>
    <t xml:space="preserve">gen_ceiling_tray</t>
  </si>
  <si>
    <t xml:space="preserve">ceiling</t>
  </si>
  <si>
    <t xml:space="preserve">{"inset": 400, "steps": 2, "cove_led": true, "ceiling_h": 2750, "tray_h": 2950}</t>
  </si>
  <si>
    <t xml:space="preserve">Tray ceiling with stepped cornice. Build: Stepped tray ceiling with cornice and concealed LED cove (2700 K). Size: 3200 × 2350 × H 200 mm; 1 instance(s); ceiling-hung / recessed. Materials: M_Paint_WarmWhite.</t>
  </si>
  <si>
    <t xml:space="preserve">SM_FF_UL_CEILING_TRAY</t>
  </si>
  <si>
    <t xml:space="preserve">SM_FF_UL_20</t>
  </si>
  <si>
    <t xml:space="preserve">UL-21</t>
  </si>
  <si>
    <t xml:space="preserve">Brass inlay strip at the void edge</t>
  </si>
  <si>
    <t xml:space="preserve">INLAY_STRIP</t>
  </si>
  <si>
    <t xml:space="preserve">gen_inlay</t>
  </si>
  <si>
    <t xml:space="preserve">{"width": 20, "material": "brass"}</t>
  </si>
  <si>
    <t xml:space="preserve">Brass inlay strip at the void edge. Build: Metal/stone strip inlaid flush in the floor or nosing at an edge. Size: 3718 × 32 × H 5 mm; 1 instance(s); floor-standing. Materials: M_Brass_Brushed.</t>
  </si>
  <si>
    <t xml:space="preserve">SM_FF_INLAY_STRIP_3720x30x5</t>
  </si>
  <si>
    <t xml:space="preserve">SM_FF_UL_21</t>
  </si>
  <si>
    <t xml:space="preserve">UL-22</t>
  </si>
  <si>
    <t xml:space="preserve">Sculptural brass chandelier Ø900 with concealed LED cove (dimmable scenes)</t>
  </si>
  <si>
    <t xml:space="preserve">LIGHT_CHANDELIER</t>
  </si>
  <si>
    <t xml:space="preserve">gen_chandelier</t>
  </si>
  <si>
    <t xml:space="preserve">{"style": "sculptural brass Ø900", "drop_to_bottom_mm": 2200, "lumens": 3000}</t>
  </si>
  <si>
    <t xml:space="preserve">Sculptural brass chandelier Ø900 with concealed LED cove (dimmable scenes). Build: Ceiling-hung fixture with canopy, rod/cables and emissive parts + UE point/spot lights. Size: Ø900 × H 600 mm; 1 instance(s); ceiling-hung / recessed. Materials: M_Brass_Brushed.</t>
  </si>
  <si>
    <t xml:space="preserve">SM_FF_LIGHT_CHANDELIER_900x900x600</t>
  </si>
  <si>
    <t xml:space="preserve">SM_FF_UL_22</t>
  </si>
  <si>
    <t xml:space="preserve">2–15k tris</t>
  </si>
  <si>
    <t xml:space="preserve">UL-23</t>
  </si>
  <si>
    <t xml:space="preserve">Brass floor reading lamp</t>
  </si>
  <si>
    <t xml:space="preserve">LIGHT_FLOOR_LAMP</t>
  </si>
  <si>
    <t xml:space="preserve">gen_floor_lamp</t>
  </si>
  <si>
    <t xml:space="preserve">{"style": "brass reading"}</t>
  </si>
  <si>
    <t xml:space="preserve">Brass floor reading lamp. Build: Brass floor lamp: weighted base, stem, conical shade. Size: Ø350 × H 1500 mm; 1 instance(s); floor-standing. Materials: M_Brass_Brushed.</t>
  </si>
  <si>
    <t xml:space="preserve">SM_FF_LIGHT_FLOOR_LAMP_350x350x1500</t>
  </si>
  <si>
    <t xml:space="preserve">SM_FF_UL_23</t>
  </si>
  <si>
    <t xml:space="preserve">UL-24</t>
  </si>
  <si>
    <t xml:space="preserve">Disc sconces ×2</t>
  </si>
  <si>
    <t xml:space="preserve">LIGHT_SCONCE</t>
  </si>
  <si>
    <t xml:space="preserve">gen_sconce</t>
  </si>
  <si>
    <t xml:space="preserve">{"style": "disc", "centre_h": 1600}</t>
  </si>
  <si>
    <t xml:space="preserve">Disc sconces ×2. Build: Wall sconce with back plate, emissive diffuser + UE light. Size: Ø200 × H 200 mm; 2 instance(s); wall-mounted, faces —. Materials: per family default.</t>
  </si>
  <si>
    <t xml:space="preserve">SM_FF_LIGHT_SCONCE_200x200x200</t>
  </si>
  <si>
    <t xml:space="preserve">SM_FF_UL_24</t>
  </si>
  <si>
    <t xml:space="preserve">UL-25</t>
  </si>
  <si>
    <t xml:space="preserve">Picture light</t>
  </si>
  <si>
    <t xml:space="preserve">LIGHT_SPOT</t>
  </si>
  <si>
    <t xml:space="preserve">gen_spot</t>
  </si>
  <si>
    <t xml:space="preserve">{"beam_deg": 40, "type": "picture light"}</t>
  </si>
  <si>
    <t xml:space="preserve">Picture light. Build: Recessed downlight / uplight / picture light / niche light. Size: 700 × 40 × H 80 mm; 1 instance(s); ceiling-hung / recessed. Materials: M_Brass_Brushed.</t>
  </si>
  <si>
    <t xml:space="preserve">SM_FF_LIGHT_SPOT_700x40x80</t>
  </si>
  <si>
    <t xml:space="preserve">SM_FF_UL_25</t>
  </si>
  <si>
    <t xml:space="preserve">UL-26</t>
  </si>
  <si>
    <t xml:space="preserve">Hand-knotted wool-silk rug 2400×1700</t>
  </si>
  <si>
    <t xml:space="preserve">RUG</t>
  </si>
  <si>
    <t xml:space="preserve">gen_rug</t>
  </si>
  <si>
    <t xml:space="preserve">{"pile": "low", "edge_bevel": 5, "pattern": "hand-knotted wool-silk"}</t>
  </si>
  <si>
    <t xml:space="preserve">M_Wool_Rug</t>
  </si>
  <si>
    <t xml:space="preserve">Hand-knotted wool-silk rug 2400×1700. Build: Rug slab with bevelled edge; shag variant uses displaced grid; hand-knotted pattern texture slot. Size: 2400 × 1700 × H 12 mm; 1 instance(s); floor-standing. Materials: M_Wool_Rug.</t>
  </si>
  <si>
    <t xml:space="preserve">SM_FF_RUG_2400x1700x12</t>
  </si>
  <si>
    <t xml:space="preserve">SM_FF_UL_26</t>
  </si>
  <si>
    <t xml:space="preserve">UL-27</t>
  </si>
  <si>
    <t xml:space="preserve">Velvet cushions in charcoal and pale grey</t>
  </si>
  <si>
    <t xml:space="preserve">SOFT_SET</t>
  </si>
  <si>
    <t xml:space="preserve">gen_soft_set</t>
  </si>
  <si>
    <t xml:space="preserve">{"items": "cushion"}</t>
  </si>
  <si>
    <t xml:space="preserve">M_Velvet_Cream, M_Velvet_Charcoal</t>
  </si>
  <si>
    <t xml:space="preserve">Velvet cushions in charcoal and pale grey. Build: Cushions / throws / bed runner / towels / bath mat generated from the soft-furnishing kit onto the host. Size: 250 × 250 × H 150 mm; 1 instance(s); placed on its host surface. Materials: M_Velvet_Cream, M_Velvet_Charcoal.</t>
  </si>
  <si>
    <t xml:space="preserve">SM_FF_SOFT_SET_250x250x150</t>
  </si>
  <si>
    <t xml:space="preserve">SM_FF_UL_27</t>
  </si>
  <si>
    <t xml:space="preserve">UL-28</t>
  </si>
  <si>
    <t xml:space="preserve">Bouclé throw</t>
  </si>
  <si>
    <t xml:space="preserve">{"items": "throw"}</t>
  </si>
  <si>
    <t xml:space="preserve">Bouclé throw. Build: Cushions / throws / bed runner / towels / bath mat generated from the soft-furnishing kit onto the host. Size: 250 × 250 × H 150 mm; 1 instance(s); placed on its host surface. Materials: M_Boucle_Grey.</t>
  </si>
  <si>
    <t xml:space="preserve">SM_FF_UL_28</t>
  </si>
  <si>
    <t xml:space="preserve">VO-01</t>
  </si>
  <si>
    <t xml:space="preserve">Low honed-stone planter trough 1500×250 at the balustrade corner</t>
  </si>
  <si>
    <t xml:space="preserve">PLANTER_TROUGH</t>
  </si>
  <si>
    <t xml:space="preserve">gen_trough</t>
  </si>
  <si>
    <t xml:space="preserve">{"wall_t": 30, "plants": "trailing"}</t>
  </si>
  <si>
    <t xml:space="preserve">Low honed-stone planter trough 1500×250 at the balustrade corner. Build: Honed stone trough (hollow, 30 mm walls) planted with trailing foliage cards. Size: 1500 × 250 × H 400 mm; 1 instance(s); floor-standing. Materials: M_Travertine, M_Foliage_Olive. Fit note: on the lounge side of the balustrade (the void has no floor).</t>
  </si>
  <si>
    <t xml:space="preserve">SM_FF_PLANTER_TROUGH_1500x250x400</t>
  </si>
  <si>
    <t xml:space="preserve">SM_FF_VO_01</t>
  </si>
  <si>
    <t xml:space="preserve">on the lounge side of the balustrade (the void has no floor)</t>
  </si>
  <si>
    <t xml:space="preserve">VO-02</t>
  </si>
  <si>
    <t xml:space="preserve">Overlooks the crystal ring cluster below</t>
  </si>
  <si>
    <t xml:space="preserve">{"type": "sightline marker (no geometry)", "scatter_on": "host top"}</t>
  </si>
  <si>
    <t xml:space="preserve">Overlooks the crystal ring cluster below. Build: Small décor generated from the accessory kit (vase, tray, books, bowl, candles, diffuser, towels…) and dropped onto the host surface at the marked point. Size: Ø1200 × H 150 mm; 1 instance(s); placed on its host surface. Materials: per family default.</t>
  </si>
  <si>
    <t xml:space="preserve">SM_FF_ACCESSORY_1200x1200x150</t>
  </si>
  <si>
    <t xml:space="preserve">SM_FF_VO_02</t>
  </si>
  <si>
    <t xml:space="preserve">VO-03</t>
  </si>
  <si>
    <t xml:space="preserve">Trailing plants spilling over the trough</t>
  </si>
  <si>
    <t xml:space="preserve">PLANT_SMALL</t>
  </si>
  <si>
    <t xml:space="preserve">gen_plant_small</t>
  </si>
  <si>
    <t xml:space="preserve">{"pot_d": 300, "species": "trailing"}</t>
  </si>
  <si>
    <t xml:space="preserve">M_Foliage_Olive</t>
  </si>
  <si>
    <t xml:space="preserve">Trailing plants spilling over the trough. Build: Potted plant from leaf-card kit. Size: Ø300 × H 600 mm; 1 instance(s); floor-standing. Materials: M_Foliage_Olive.</t>
  </si>
  <si>
    <t xml:space="preserve">SM_FF_PLANT_SMALL_300x300x600</t>
  </si>
  <si>
    <t xml:space="preserve">SM_FF_VO_03</t>
  </si>
  <si>
    <t xml:space="preserve">VO-04</t>
  </si>
  <si>
    <t xml:space="preserve">Low-iron glass balustrade with bronze handrail and clamps</t>
  </si>
  <si>
    <t xml:space="preserve">Low-iron glass balustrade with bronze handrail and clamps. Build: Frameless glass balustrade with bronze cap rail/handrail and clamps. Size: 3718 × 40 × H 1100 mm; 1 instance(s); floor-standing. Materials: M_Bronze_Dark, M_Glass_LowIron.</t>
  </si>
  <si>
    <t xml:space="preserve">SM_FF_VO_04</t>
  </si>
  <si>
    <t xml:space="preserve">VO-05</t>
  </si>
  <si>
    <t xml:space="preserve">Stone nosing at the void edge</t>
  </si>
  <si>
    <t xml:space="preserve">{"width": 20, "material": "stone nosing"}</t>
  </si>
  <si>
    <t xml:space="preserve">Stone nosing at the void edge. Build: Metal/stone strip inlaid flush in the floor or nosing at an edge. Size: 400 × 37 × H 5 mm; 1 instance(s); floor-standing. Materials: M_Travertine.</t>
  </si>
  <si>
    <t xml:space="preserve">SM_FF_INLAY_STRIP_400x40x5</t>
  </si>
  <si>
    <t xml:space="preserve">SM_FF_VO_05</t>
  </si>
  <si>
    <t xml:space="preserve">VO-06</t>
  </si>
  <si>
    <t xml:space="preserve">Full-height motorised silk-linen sheers on the courtyard side</t>
  </si>
  <si>
    <t xml:space="preserve">CURTAIN</t>
  </si>
  <si>
    <t xml:space="preserve">gen_curtain</t>
  </si>
  <si>
    <t xml:space="preserve">{"fullness": 2.2, "fold_pitch": 160, "track": "motorised ceiling", "layers": "sheer, full height"}</t>
  </si>
  <si>
    <t xml:space="preserve">M_Fabric_Linen</t>
  </si>
  <si>
    <t xml:space="preserve">Full-height motorised silk-linen sheers on the courtyard side. Build: Curtain surface swept along the track with sine folds; sheer = translucent two-sided material. Size: 3640 × 45 × H 6100 mm; 1 instance(s); wall-mounted, faces W. Materials: M_Fabric_Linen.</t>
  </si>
  <si>
    <t xml:space="preserve">SM_FF_CURTAIN_3640x40x6100</t>
  </si>
  <si>
    <t xml:space="preserve">SM_FF_VO_06</t>
  </si>
  <si>
    <t xml:space="preserve">VO-07</t>
  </si>
  <si>
    <t xml:space="preserve">Concealed LED under the handrail</t>
  </si>
  <si>
    <t xml:space="preserve">LIGHT_LED_STRIP</t>
  </si>
  <si>
    <t xml:space="preserve">gen_led_strip</t>
  </si>
  <si>
    <t xml:space="preserve">{"cct": 2700}</t>
  </si>
  <si>
    <t xml:space="preserve">Concealed LED under the handrail. Build: Concealed LED strip along the given line (rect light, emissive strip). Size: 3640 × 40 × H 10 mm; 1 instance(s); placed on its host surface. Materials: per family default.</t>
  </si>
  <si>
    <t xml:space="preserve">SM_FF_LIGHT_LED_STRIP_3640x40x10</t>
  </si>
  <si>
    <t xml:space="preserve">SM_FF_VO_07</t>
  </si>
  <si>
    <t xml:space="preserve">VO-08</t>
  </si>
  <si>
    <t xml:space="preserve">Uplight washing the void wall</t>
  </si>
  <si>
    <t xml:space="preserve">{"beam_deg": 40, "type": "uplight"}</t>
  </si>
  <si>
    <t xml:space="preserve">Uplight washing the void wall. Build: Recessed downlight / uplight / picture light / niche light. Size: Ø250 × H 80 mm; 1 instance(s); ceiling-hung / recessed. Materials: M_Brass_Brushed.</t>
  </si>
  <si>
    <t xml:space="preserve">SM_FF_LIGHT_SPOT_250x250x80</t>
  </si>
  <si>
    <t xml:space="preserve">SM_FF_VO_08</t>
  </si>
  <si>
    <t xml:space="preserve">MB-01</t>
  </si>
  <si>
    <t xml:space="preserve">King bed 1829×1981 with full-height upholstered headboard wall</t>
  </si>
  <si>
    <t xml:space="preserve">BED_PLATFORM</t>
  </si>
  <si>
    <t xml:space="preserve">gen_bed</t>
  </si>
  <si>
    <t xml:space="preserve">{"mattress_h": 250, "base_h": 200, "base_inset": 60, "leg": "recessed plinth 60", "bevel": 15, "duvet_drape": 120}</t>
  </si>
  <si>
    <t xml:space="preserve">King bed 1829×1981 with full-height upholstered headboard wall. Build: Upholstered platform base on a recessed plinth; mattress block with 40 mm rounded edges; duvet/bed-runner layer draped 120 mm over the sides; 2–4 pillows generated from PILLOW sub-family. Headboard wall is a separate finish family. Size: 1980 × 1829 × H 450 mm; 1 instance(s); floor-standing. Materials: M_Velvet_Cream.</t>
  </si>
  <si>
    <t xml:space="preserve">SM_FF_BED_PLATFORM_1980x1830x450</t>
  </si>
  <si>
    <t xml:space="preserve">SM_FF_MB_01</t>
  </si>
  <si>
    <t xml:space="preserve">MB-02</t>
  </si>
  <si>
    <t xml:space="preserve">Walnut side tables ×2 with marble tops</t>
  </si>
  <si>
    <t xml:space="preserve">SIDE_TABLE</t>
  </si>
  <si>
    <t xml:space="preserve">gen_side_table</t>
  </si>
  <si>
    <t xml:space="preserve">{"top_t": 25, "carcass": "box", "drawer_count": 1, "leg": "none", "top_material": "marble"}</t>
  </si>
  <si>
    <t xml:space="preserve">Walnut side tables ×2 with marble tops. Build: Box carcass with one drawer (3 mm shadow gap), separate stone/wood top slab with 3 mm edge bevel; optional brass legs (Ø16 tapered) when leg=brass. Size: 450 × 450 × H 550 mm; 2 instance(s); floor-standing. Materials: M_Walnut, M_Marble_Calacatta.</t>
  </si>
  <si>
    <t xml:space="preserve">SM_FF_SIDE_TABLE_450x450x550</t>
  </si>
  <si>
    <t xml:space="preserve">SM_FF_MB_02</t>
  </si>
  <si>
    <t xml:space="preserve">MB-03</t>
  </si>
  <si>
    <t xml:space="preserve">2 olive bouclé lounge chairs with bronze side table</t>
  </si>
  <si>
    <t xml:space="preserve">CHAIR_LOUNGE</t>
  </si>
  <si>
    <t xml:space="preserve">gen_chair_lounge</t>
  </si>
  <si>
    <t xml:space="preserve">{"seat_h": 400, "back_h": 800, "arm": "rounded", "leg": "tapered bronze", "leg_h": 150}</t>
  </si>
  <si>
    <t xml:space="preserve">M_Boucle_Olive, M_Boucle_Grey, M_Bronze_Dark, M_Foliage_Olive</t>
  </si>
  <si>
    <t xml:space="preserve">2 olive bouclé lounge chairs with bronze side table. Build: Club/lounge chair: sculpted shell or box body with rounded arms, loose seat cushion, 4 tapered bronze legs fitted into a sub-frame plate (no gaps). Size: Ø760 × H 800 mm; 3 instance(s); floor-standing. Materials: M_Boucle_Olive, M_Boucle_Grey, M_Bronze_Dark, M_Foliage_Olive. Fit note: by the balcony glazing; access via the right-hand sliding panel.</t>
  </si>
  <si>
    <t xml:space="preserve">SM_FF_CHAIR_LOUNGE_760x760x800</t>
  </si>
  <si>
    <t xml:space="preserve">SM_FF_MB_03</t>
  </si>
  <si>
    <t xml:space="preserve">by the balcony glazing; access via the right-hand sliding panel</t>
  </si>
  <si>
    <t xml:space="preserve">MB-04</t>
  </si>
  <si>
    <t xml:space="preserve">Velvet bench at the bed foot</t>
  </si>
  <si>
    <t xml:space="preserve">BENCH_UPHOLSTERED</t>
  </si>
  <si>
    <t xml:space="preserve">gen_bench</t>
  </si>
  <si>
    <t xml:space="preserve">{"seat_t": 120, "leg_h": 180, "leg": "bronze sled", "piping": true}</t>
  </si>
  <si>
    <t xml:space="preserve">Velvet bench at the bed foot. Build: Upholstered seat block with piping on top edges, crowned top (+8 mm), on bronze sled legs (25×10 flat bar). Size: 1300 × 450 × H 450 mm; 1 instance(s); floor-standing. Materials: M_Velvet_Cream.</t>
  </si>
  <si>
    <t xml:space="preserve">SM_FF_BENCH_UPHOLSTERED_1300x450x450</t>
  </si>
  <si>
    <t xml:space="preserve">SM_FF_MB_04</t>
  </si>
  <si>
    <t xml:space="preserve">MB-05</t>
  </si>
  <si>
    <t xml:space="preserve">TV recessed in the fluted walnut panel above a walnut console 1600×400</t>
  </si>
  <si>
    <t xml:space="preserve">MEDIA_CONSOLE</t>
  </si>
  <si>
    <t xml:space="preserve">gen_media_console</t>
  </si>
  <si>
    <t xml:space="preserve">{"type": "floating", "fronts": "flush", "tv_size_in": 75, "tv_recess_depth": 60}</t>
  </si>
  <si>
    <t xml:space="preserve">TV recessed in the fluted walnut panel above a walnut console 1600×400. Build: Slim walnut media console (floating or on brass legs) with flush push-open fronts; TV generated as a black-glass slab recessed into the host panel. Size: 1600 × 400 × H 500 mm; 1 instance(s); floor-standing. Materials: M_Walnut.</t>
  </si>
  <si>
    <t xml:space="preserve">SM_FF_MEDIA_CONSOLE_1600x400x500</t>
  </si>
  <si>
    <t xml:space="preserve">SM_FF_MB_05</t>
  </si>
  <si>
    <t xml:space="preserve">MB-06</t>
  </si>
  <si>
    <t xml:space="preserve">Leather-top walnut writing desk 1000×500 with bouclé chair</t>
  </si>
  <si>
    <t xml:space="preserve">DESK</t>
  </si>
  <si>
    <t xml:space="preserve">gen_desk</t>
  </si>
  <si>
    <t xml:space="preserve">{"top_t": 30, "leather_inset": true, "drawer_count": 1, "leg": "panel + brass shoe"}</t>
  </si>
  <si>
    <t xml:space="preserve">M_Walnut, M_Boucle_Grey, M_Leather_Cognac</t>
  </si>
  <si>
    <t xml:space="preserve">Leather-top walnut writing desk 1000×500 with bouclé chair. Build: Writing desk: walnut/oak carcass, leather inset top (10 mm border), one pencil drawer, brass shoes on panel legs. Size: 1000 × 500 × H 750 mm; 1 instance(s); floor-standing. Materials: M_Walnut, M_Boucle_Grey, M_Leather_Cognac. Fit note: chair clear of the bed and WIW door swing.</t>
  </si>
  <si>
    <t xml:space="preserve">SM_FF_DESK_1000x500x750</t>
  </si>
  <si>
    <t xml:space="preserve">SM_FF_MB_06</t>
  </si>
  <si>
    <t xml:space="preserve">chair clear of the bed and WIW door swing</t>
  </si>
  <si>
    <t xml:space="preserve">MB-07</t>
  </si>
  <si>
    <t xml:space="preserve">Tall olive tree in a stone planter</t>
  </si>
  <si>
    <t xml:space="preserve">Tall olive tree in a stone planter. Build: Stone planter (tapered cylinder) + branch generator (depth 4–5) with olive leaf cards; geometry trimmed 15 mm off walls / 2.70 m ceiling (same as GF QC). Size: Ø500 × H 1600 mm; 1 instance(s); floor-standing. Materials: M_Travertine, M_Foliage_Olive.</t>
  </si>
  <si>
    <t xml:space="preserve">SM_FF_PLANTER_TREE_500x500x1600</t>
  </si>
  <si>
    <t xml:space="preserve">SM_FF_MB_07</t>
  </si>
  <si>
    <t xml:space="preserve">MB-08</t>
  </si>
  <si>
    <t xml:space="preserve">Botanical art pair</t>
  </si>
  <si>
    <t xml:space="preserve">Botanical art pair. Build: Framed artwork: walnut frame, canvas plane with image texture slot; wall stand-off 2 mm. Size: 850 × 40 × H 600 mm; 2 instance(s); wall-mounted, faces N. Materials: per family default.</t>
  </si>
  <si>
    <t xml:space="preserve">SM_FF_ART_FRAME_850x40x600</t>
  </si>
  <si>
    <t xml:space="preserve">SM_FF_MB_08</t>
  </si>
  <si>
    <t xml:space="preserve">MB-09</t>
  </si>
  <si>
    <t xml:space="preserve">Large framed abstract</t>
  </si>
  <si>
    <t xml:space="preserve">Large framed abstract. Build: Framed artwork: walnut frame, canvas plane with image texture slot; wall stand-off 2 mm. Size: 900 × 40 × H 1200 mm; 1 instance(s); wall-mounted, faces N. Materials: per family default.</t>
  </si>
  <si>
    <t xml:space="preserve">SM_FF_ART_FRAME_900x40x1200</t>
  </si>
  <si>
    <t xml:space="preserve">SM_FF_MB_09</t>
  </si>
  <si>
    <t xml:space="preserve">MB-10</t>
  </si>
  <si>
    <t xml:space="preserve">Bronze trays</t>
  </si>
  <si>
    <t xml:space="preserve">{"type": "tray", "scatter_on": "host top"}</t>
  </si>
  <si>
    <t xml:space="preserve">M_Bronze_Dark</t>
  </si>
  <si>
    <t xml:space="preserve">Bronze trays. Build: Small décor generated from the accessory kit (vase, tray, books, bowl, candles, diffuser, towels…) and dropped onto the host surface at the marked point. Size: 250 × 250 × H 150 mm; 1 instance(s); placed on its host surface. Materials: M_Bronze_Dark.</t>
  </si>
  <si>
    <t xml:space="preserve">SM_FF_MB_10</t>
  </si>
  <si>
    <t xml:space="preserve">MB-11</t>
  </si>
  <si>
    <t xml:space="preserve">Orchid</t>
  </si>
  <si>
    <t xml:space="preserve">{"type": "orchid", "scatter_on": "host top"}</t>
  </si>
  <si>
    <t xml:space="preserve">Orchid. Build: Small décor generated from the accessory kit (vase, tray, books, bowl, candles, diffuser, towels…) and dropped onto the host surface at the marked point. Size: 250 × 250 × H 150 mm; 1 instance(s); placed on its host surface. Materials: per family default.</t>
  </si>
  <si>
    <t xml:space="preserve">SM_FF_MB_11</t>
  </si>
  <si>
    <t xml:space="preserve">MB-12</t>
  </si>
  <si>
    <t xml:space="preserve">Bud vases</t>
  </si>
  <si>
    <t xml:space="preserve">Bud vases. Build: Small décor generated from the accessory kit (vase, tray, books, bowl, candles, diffuser, towels…) and dropped onto the host surface at the marked point. Size: 250 × 250 × H 150 mm; 1 instance(s); placed on its host surface. Materials: M_Ceramic_Matte.</t>
  </si>
  <si>
    <t xml:space="preserve">SM_FF_MB_12</t>
  </si>
  <si>
    <t xml:space="preserve">MB-13</t>
  </si>
  <si>
    <t xml:space="preserve">Stacked books</t>
  </si>
  <si>
    <t xml:space="preserve">Stacked books. Build: Small décor generated from the accessory kit (vase, tray, books, bowl, candles, diffuser, towels…) and dropped onto the host surface at the marked point. Size: 250 × 250 × H 150 mm; 1 instance(s); placed on its host surface. Materials: per family default.</t>
  </si>
  <si>
    <t xml:space="preserve">SM_FF_MB_13</t>
  </si>
  <si>
    <t xml:space="preserve">MB-14</t>
  </si>
  <si>
    <t xml:space="preserve">Sculptural bronze bowl</t>
  </si>
  <si>
    <t xml:space="preserve">Sculptural bronze bowl. Build: Small décor generated from the accessory kit (vase, tray, books, bowl, candles, diffuser, towels…) and dropped onto the host surface at the marked point. Size: 250 × 250 × H 150 mm; 1 instance(s); placed on its host surface. Materials: M_Bronze_Dark.</t>
  </si>
  <si>
    <t xml:space="preserve">SM_FF_MB_14</t>
  </si>
  <si>
    <t xml:space="preserve">MB-15</t>
  </si>
  <si>
    <t xml:space="preserve">Green marble panels flanking a taupe fabric headboard, bronze trims</t>
  </si>
  <si>
    <t xml:space="preserve">{"type": "upholstered taupe + green marble, bronze trims", "module": 60, "depth": 40}</t>
  </si>
  <si>
    <t xml:space="preserve">M_Velvet_Taupe, M_Marble_GreenVein, M_Bronze_Dark</t>
  </si>
  <si>
    <t xml:space="preserve">Green marble panels flanking a taupe fabric headboard, bronze trims. Build: Feature wall panel: walnut slats (module 60 / gap 15), fluted walnut, upholstered fabric panels or marble slabs with bronze trims. Size: 2750 × 100 × H 2700 mm; 1 instance(s); wall-mounted, faces W. Materials: M_Velvet_Taupe, M_Marble_GreenVein, M_Bronze_Dark.</t>
  </si>
  <si>
    <t xml:space="preserve">SM_FF_WALL_FEATURE_PANEL_2750x100x2700</t>
  </si>
  <si>
    <t xml:space="preserve">SM_FF_MB_15</t>
  </si>
  <si>
    <t xml:space="preserve">MB-16</t>
  </si>
  <si>
    <t xml:space="preserve">Fluted walnut TV panel</t>
  </si>
  <si>
    <t xml:space="preserve">{"type": "fluted walnut", "module": 60, "depth": 40}</t>
  </si>
  <si>
    <t xml:space="preserve">Fluted walnut TV panel. Build: Feature wall panel: walnut slats (module 60 / gap 15), fluted walnut, upholstered fabric panels or marble slabs with bronze trims. Size: 2000 × 40 × H 2700 mm; 1 instance(s); wall-mounted, faces E. Materials: M_Walnut.</t>
  </si>
  <si>
    <t xml:space="preserve">SM_FF_WALL_FEATURE_PANEL_2000x40x2700</t>
  </si>
  <si>
    <t xml:space="preserve">SM_FF_MB_16</t>
  </si>
  <si>
    <t xml:space="preserve">MB-17</t>
  </si>
  <si>
    <t xml:space="preserve">Tray ceiling with cove</t>
  </si>
  <si>
    <t xml:space="preserve">Tray ceiling with cove. Build: Stepped tray ceiling with cornice and concealed LED cove (2700 K). Size: 2600 × 2550 × H 200 mm; 1 instance(s); ceiling-hung / recessed. Materials: M_Paint_WarmWhite.</t>
  </si>
  <si>
    <t xml:space="preserve">SM_FF_MB_CEILING_TRAY</t>
  </si>
  <si>
    <t xml:space="preserve">SM_FF_MB_17</t>
  </si>
  <si>
    <t xml:space="preserve">MB-18</t>
  </si>
  <si>
    <t xml:space="preserve">Bronze-framed mirror strip</t>
  </si>
  <si>
    <t xml:space="preserve">MIRROR</t>
  </si>
  <si>
    <t xml:space="preserve">gen_mirror</t>
  </si>
  <si>
    <t xml:space="preserve">{"shape": "strip", "frame": "bronze", "backlight": false, "centre_h": 1500}</t>
  </si>
  <si>
    <t xml:space="preserve">Bronze-framed mirror strip. Build: Mirror plane with brass/bronze frame; shape: round / oval / organic spline / full-length. Size: 900 × 30 × H 900 mm; 1 instance(s); wall-mounted, faces E. Materials: M_Bronze_Dark.</t>
  </si>
  <si>
    <t xml:space="preserve">SM_FF_MIRROR_900x30x900</t>
  </si>
  <si>
    <t xml:space="preserve">SM_FF_MB_18</t>
  </si>
  <si>
    <t xml:space="preserve">MB-19</t>
  </si>
  <si>
    <t xml:space="preserve">Herringbone oak floor (engineered, hand-oiled)</t>
  </si>
  <si>
    <t xml:space="preserve">{"pattern": "herringbone oak 600×90", "grout": 2}</t>
  </si>
  <si>
    <t xml:space="preserve">M_Oak_Light, M_Oak_Herringbone</t>
  </si>
  <si>
    <t xml:space="preserve">Herringbone oak floor (engineered, hand-oiled). Build: Room-polygon floor finish (herringbone / large-format stone / deck boards) with pattern-aware UVs. Size: room 4482 × 3810 × H 15 mm; 1 instance(s); applied to the whole room. Materials: M_Oak_Light, M_Oak_Herringbone.</t>
  </si>
  <si>
    <t xml:space="preserve">SM_FF_MB_FINISH_FLOOR</t>
  </si>
  <si>
    <t xml:space="preserve">SM_FF_MB_19</t>
  </si>
  <si>
    <t xml:space="preserve">MB-20</t>
  </si>
  <si>
    <t xml:space="preserve">Linear lights ×2</t>
  </si>
  <si>
    <t xml:space="preserve">LIGHT_LINEAR</t>
  </si>
  <si>
    <t xml:space="preserve">gen_linear_light</t>
  </si>
  <si>
    <t xml:space="preserve">{"profile": "recessed 40", "cct": 2700}</t>
  </si>
  <si>
    <t xml:space="preserve">Linear lights ×2. Build: Recessed linear LED profile (rect light in UE). Size: 1900 × 40 × H 40 mm; 2 instance(s); ceiling-hung / recessed. Materials: M_Brass_Brushed.</t>
  </si>
  <si>
    <t xml:space="preserve">SM_FF_LIGHT_LINEAR_1900x40x40</t>
  </si>
  <si>
    <t xml:space="preserve">SM_FF_MB_20</t>
  </si>
  <si>
    <t xml:space="preserve">MB-21</t>
  </si>
  <si>
    <t xml:space="preserve">Alabaster bedside pendants ×2 (replace table lamps)</t>
  </si>
  <si>
    <t xml:space="preserve">LIGHT_PENDANT</t>
  </si>
  <si>
    <t xml:space="preserve">gen_pendant</t>
  </si>
  <si>
    <t xml:space="preserve">{"shade": "alabaster", "drop_to_bottom_mm": 1600}</t>
  </si>
  <si>
    <t xml:space="preserve">M_Alabaster</t>
  </si>
  <si>
    <t xml:space="preserve">Alabaster bedside pendants ×2 (replace table lamps). Build: Bedside / feature pendant with canopy, cable and shade. Size: Ø260 × H 350 mm; 2 instance(s); ceiling-hung / recessed. Materials: M_Alabaster.</t>
  </si>
  <si>
    <t xml:space="preserve">SM_FF_LIGHT_PENDANT_260x260x350</t>
  </si>
  <si>
    <t xml:space="preserve">SM_FF_MB_21</t>
  </si>
  <si>
    <t xml:space="preserve">MB-22</t>
  </si>
  <si>
    <t xml:space="preserve">Under-bed LED</t>
  </si>
  <si>
    <t xml:space="preserve">Under-bed LED. Build: Concealed LED strip along the given line (rect light, emissive strip). Size: 2020 × 1869 × H 10 mm; 1 instance(s); placed on its host surface. Materials: per family default.</t>
  </si>
  <si>
    <t xml:space="preserve">SM_FF_LIGHT_LED_STRIP_2020x1870x10</t>
  </si>
  <si>
    <t xml:space="preserve">SM_FF_MB_22</t>
  </si>
  <si>
    <t xml:space="preserve">MB-23</t>
  </si>
  <si>
    <t xml:space="preserve">Floor lamp</t>
  </si>
  <si>
    <t xml:space="preserve">Floor lamp. Build: Brass floor lamp: weighted base, stem, conical shade. Size: Ø300 × H 1500 mm; 1 instance(s); floor-standing. Materials: per family default.</t>
  </si>
  <si>
    <t xml:space="preserve">SM_FF_LIGHT_FLOOR_LAMP_300x300x1500</t>
  </si>
  <si>
    <t xml:space="preserve">SM_FF_MB_23</t>
  </si>
  <si>
    <t xml:space="preserve">MB-24</t>
  </si>
  <si>
    <t xml:space="preserve">Designer bronze-and-walnut ceiling fan</t>
  </si>
  <si>
    <t xml:space="preserve">CEILING_FAN</t>
  </si>
  <si>
    <t xml:space="preserve">gen_fan</t>
  </si>
  <si>
    <t xml:space="preserve">{"blades": 3, "span": 1320, "finish": "bronze + walnut"}</t>
  </si>
  <si>
    <t xml:space="preserve">M_Walnut, M_Bronze_Dark</t>
  </si>
  <si>
    <t xml:space="preserve">Designer bronze-and-walnut ceiling fan. Build: Designer ceiling fan, bronze body + walnut blades (static mesh, optional rotation). Size: Ø1200 × H 400 mm; 1 instance(s); ceiling-hung / recessed. Materials: M_Walnut, M_Bronze_Dark.</t>
  </si>
  <si>
    <t xml:space="preserve">SM_FF_CEILING_FAN_1200x1200x400</t>
  </si>
  <si>
    <t xml:space="preserve">SM_FF_MB_24</t>
  </si>
  <si>
    <t xml:space="preserve">MB-25</t>
  </si>
  <si>
    <t xml:space="preserve">Motorised silk-blend blackout drapes with ivory sheers</t>
  </si>
  <si>
    <t xml:space="preserve">{"fullness": 2.2, "fold_pitch": 160, "track": "motorised ceiling", "layers": "blackout+sheer"}</t>
  </si>
  <si>
    <t xml:space="preserve">Motorised silk-blend blackout drapes with ivory sheers. Build: Curtain surface swept along the track with sine folds; sheer = translucent two-sided material. Size: 2840 × 47 × H 2700 mm; 1 instance(s); wall-mounted, faces S. Materials: M_Fabric_Linen.</t>
  </si>
  <si>
    <t xml:space="preserve">SM_FF_CURTAIN_2840x50x2700</t>
  </si>
  <si>
    <t xml:space="preserve">SM_FF_MB_25</t>
  </si>
  <si>
    <t xml:space="preserve">MB-26</t>
  </si>
  <si>
    <t xml:space="preserve">Hand-knotted rug 2400×3000</t>
  </si>
  <si>
    <t xml:space="preserve">{"pile": "low", "edge_bevel": 5, "pattern": "tonal"}</t>
  </si>
  <si>
    <t xml:space="preserve">Hand-knotted rug 2400×3000. Build: Rug slab with bevelled edge; shag variant uses displaced grid; hand-knotted pattern texture slot. Size: 3000 × 2400 × H 12 mm; 1 instance(s); floor-standing. Materials: M_Wool_Rug.</t>
  </si>
  <si>
    <t xml:space="preserve">SM_FF_RUG_3000x2400x12</t>
  </si>
  <si>
    <t xml:space="preserve">SM_FF_MB_26</t>
  </si>
  <si>
    <t xml:space="preserve">MB-27</t>
  </si>
  <si>
    <t xml:space="preserve">Cushion set, bed runner, olive throw</t>
  </si>
  <si>
    <t xml:space="preserve">{"items": "cushion + throw + runner"}</t>
  </si>
  <si>
    <t xml:space="preserve">M_Wool_Rug, M_Foliage_Olive</t>
  </si>
  <si>
    <t xml:space="preserve">Cushion set, bed runner, olive throw. Build: Cushions / throws / bed runner / towels / bath mat generated from the soft-furnishing kit onto the host. Size: 250 × 250 × H 150 mm; 1 instance(s); placed on its host surface. Materials: M_Wool_Rug, M_Foliage_Olive.</t>
  </si>
  <si>
    <t xml:space="preserve">SM_FF_MB_27</t>
  </si>
  <si>
    <t xml:space="preserve">MW-01</t>
  </si>
  <si>
    <t xml:space="preserve">Walnut wardrobes on both long walls with bronze-tinted glass upper doors, 830 mm aisle</t>
  </si>
  <si>
    <t xml:space="preserve">WARDROBE</t>
  </si>
  <si>
    <t xml:space="preserve">gen_wardrobe</t>
  </si>
  <si>
    <t xml:space="preserve">{"depth": 600, "door_w": 450, "upper_glass": "bronze-tinted", "handles": "leather-wrapped", "interior": "hanging+drawers+shelves", "led": "auto-on"}</t>
  </si>
  <si>
    <t xml:space="preserve">Walnut wardrobes on both long walls with bronze-tinted glass upper doors, 830 mm aisle. Build: Full-height wardrobe run split into door modules (≈450 mm); bronze-tinted glass upper doors, solid walnut lower doors, leather-wrapped bar handles; interior generated (rails, drawer stack, shelves) for open-door shots. Size: 3387 × 600 × H 2700 mm; 2 instance(s); floor-standing. Materials: M_Walnut, M_Bronze_Dark, M_Glass_LowIron. Fit note: right wall limited by the toilet opening and the door swing.</t>
  </si>
  <si>
    <t xml:space="preserve">SM_FF_WARDROBE_3390x600x2700</t>
  </si>
  <si>
    <t xml:space="preserve">SM_FF_MW_01</t>
  </si>
  <si>
    <t xml:space="preserve">right wall limited by the toilet opening and the door swing</t>
  </si>
  <si>
    <t xml:space="preserve">MW-02</t>
  </si>
  <si>
    <t xml:space="preserve">Drawer bank with bronze pulls</t>
  </si>
  <si>
    <t xml:space="preserve">DRAWER_BANK</t>
  </si>
  <si>
    <t xml:space="preserve">gen_drawer_bank</t>
  </si>
  <si>
    <t xml:space="preserve">{"drawers": 5, "glass_top_jewellery": true, "pulls": "bronze"}</t>
  </si>
  <si>
    <t xml:space="preserve">Drawer bank with bronze pulls. Build: Drawer bank; top drawer as glass-top jewellery display with velvet-lined dividers. Size: 600 × 550 × H 900 mm; 1 instance(s); floor-standing. Materials: M_Bronze_Dark.</t>
  </si>
  <si>
    <t xml:space="preserve">SM_FF_DRAWER_BANK_600x550x900</t>
  </si>
  <si>
    <t xml:space="preserve">SM_FF_MW_02</t>
  </si>
  <si>
    <t xml:space="preserve">MW-03</t>
  </si>
  <si>
    <t xml:space="preserve">Glass-top jewellery drawers</t>
  </si>
  <si>
    <t xml:space="preserve">JOINERY_INSERT</t>
  </si>
  <si>
    <t xml:space="preserve">gen_joinery_insert</t>
  </si>
  <si>
    <t xml:space="preserve">{"insert": "drawers + glass"}</t>
  </si>
  <si>
    <t xml:space="preserve">M_Glass_LowIron</t>
  </si>
  <si>
    <t xml:space="preserve">Glass-top jewellery drawers. Build: Parametric insert built into its host joinery (wardrobe / drawer bank / shelf unit): drawers, glass-top trays, pull-outs, hamper, display shelves, handles or door type — sized from the host module. Size: 250 × 250 × H 0 mm; 1 instance(s); placed on its host surface. Materials: M_Glass_LowIron.</t>
  </si>
  <si>
    <t xml:space="preserve">SM_FF_JOINERY_INSERT_250x250x0</t>
  </si>
  <si>
    <t xml:space="preserve">SM_FF_MW_03</t>
  </si>
  <si>
    <t xml:space="preserve">MW-04</t>
  </si>
  <si>
    <t xml:space="preserve">Lit shoe tower</t>
  </si>
  <si>
    <t xml:space="preserve">SHOE_TOWER</t>
  </si>
  <si>
    <t xml:space="preserve">gen_shoe_tower</t>
  </si>
  <si>
    <t xml:space="preserve">{"shelves": 9, "shelf_led": true}</t>
  </si>
  <si>
    <t xml:space="preserve">Lit shoe tower. Build: Open lit shoe tower with angled shelves and LED under each shelf. Size: 600 × 470 × H 2100 mm; 1 instance(s); floor-standing. Materials: per family default.</t>
  </si>
  <si>
    <t xml:space="preserve">SM_FF_SHOE_TOWER_600x470x2100</t>
  </si>
  <si>
    <t xml:space="preserve">SM_FF_MW_04</t>
  </si>
  <si>
    <t xml:space="preserve">MW-05</t>
  </si>
  <si>
    <t xml:space="preserve">Tie and belt pull-outs</t>
  </si>
  <si>
    <t xml:space="preserve">{"insert": "pull-outs"}</t>
  </si>
  <si>
    <t xml:space="preserve">Tie and belt pull-outs. Build: Parametric insert built into its host joinery (wardrobe / drawer bank / shelf unit): drawers, glass-top trays, pull-outs, hamper, display shelves, handles or door type — sized from the host module. Size: 250 × 250 × H 0 mm; 1 instance(s); placed on its host surface. Materials: per family default.</t>
  </si>
  <si>
    <t xml:space="preserve">SM_FF_MW_05</t>
  </si>
  <si>
    <t xml:space="preserve">MW-06</t>
  </si>
  <si>
    <t xml:space="preserve">Laundry hamper</t>
  </si>
  <si>
    <t xml:space="preserve">{"insert": "hamper"}</t>
  </si>
  <si>
    <t xml:space="preserve">Laundry hamper. Build: Parametric insert built into its host joinery (wardrobe / drawer bank / shelf unit): drawers, glass-top trays, pull-outs, hamper, display shelves, handles or door type — sized from the host module. Size: 250 × 250 × H 0 mm; 1 instance(s); placed on its host surface. Materials: per family default.</t>
  </si>
  <si>
    <t xml:space="preserve">SM_FF_MW_06</t>
  </si>
  <si>
    <t xml:space="preserve">MW-07</t>
  </si>
  <si>
    <t xml:space="preserve">Bag display shelves</t>
  </si>
  <si>
    <t xml:space="preserve">{"insert": "display"}</t>
  </si>
  <si>
    <t xml:space="preserve">Bag display shelves. Build: Parametric insert built into its host joinery (wardrobe / drawer bank / shelf unit): drawers, glass-top trays, pull-outs, hamper, display shelves, handles or door type — sized from the host module. Size: 250 × 250 × H 0 mm; 1 instance(s); placed on its host surface. Materials: per family default.</t>
  </si>
  <si>
    <t xml:space="preserve">SM_FF_MW_07</t>
  </si>
  <si>
    <t xml:space="preserve">MW-08</t>
  </si>
  <si>
    <t xml:space="preserve">Bouclé pouf Ø400</t>
  </si>
  <si>
    <t xml:space="preserve">Bouclé pouf Ø400. Build: Cylindrical pouf with large bevel (60) and subdivision, bouclé normal detail. Size: Ø400 × H 420 mm; 1 instance(s); floor-standing. Materials: M_Boucle_Grey.</t>
  </si>
  <si>
    <t xml:space="preserve">SM_FF_POUF_ROUND_400x400x420</t>
  </si>
  <si>
    <t xml:space="preserve">SM_FF_MW_08</t>
  </si>
  <si>
    <t xml:space="preserve">MW-09</t>
  </si>
  <si>
    <t xml:space="preserve">Bronze-framed full-length mirror</t>
  </si>
  <si>
    <t xml:space="preserve">{"shape": "full-length 600×2000", "frame": "bronze", "backlight": false, "centre_h": 1500}</t>
  </si>
  <si>
    <t xml:space="preserve">Bronze-framed full-length mirror. Build: Mirror plane with brass/bronze frame; shape: round / oval / organic spline / full-length. Size: 600 × 40 × H 900 mm; 1 instance(s); wall-mounted, faces N. Materials: M_Bronze_Dark.</t>
  </si>
  <si>
    <t xml:space="preserve">SM_FF_MIRROR_600x40x900</t>
  </si>
  <si>
    <t xml:space="preserve">SM_FF_MW_09</t>
  </si>
  <si>
    <t xml:space="preserve">MW-10</t>
  </si>
  <si>
    <t xml:space="preserve">Velvet-lined trays</t>
  </si>
  <si>
    <t xml:space="preserve">Velvet-lined trays. Build: Small décor generated from the accessory kit (vase, tray, books, bowl, candles, diffuser, towels…) and dropped onto the host surface at the marked point. Size: 250 × 250 × H 150 mm; 1 instance(s); placed on its host surface. Materials: M_Velvet_Cream.</t>
  </si>
  <si>
    <t xml:space="preserve">SM_FF_MW_10</t>
  </si>
  <si>
    <t xml:space="preserve">MW-11</t>
  </si>
  <si>
    <t xml:space="preserve">Brass valet</t>
  </si>
  <si>
    <t xml:space="preserve">{"type": "valet", "scatter_on": "host top"}</t>
  </si>
  <si>
    <t xml:space="preserve">Brass valet. Build: Small décor generated from the accessory kit (vase, tray, books, bowl, candles, diffuser, towels…) and dropped onto the host surface at the marked point. Size: 250 × 250 × H 150 mm; 1 instance(s); placed on its host surface. Materials: M_Brass_Brushed.</t>
  </si>
  <si>
    <t xml:space="preserve">SM_FF_MW_11</t>
  </si>
  <si>
    <t xml:space="preserve">MW-12</t>
  </si>
  <si>
    <t xml:space="preserve">Reed diffuser</t>
  </si>
  <si>
    <t xml:space="preserve">{"type": "diffuser", "scatter_on": "host top"}</t>
  </si>
  <si>
    <t xml:space="preserve">Reed diffuser. Build: Small décor generated from the accessory kit (vase, tray, books, bowl, candles, diffuser, towels…) and dropped onto the host surface at the marked point. Size: 250 × 250 × H 150 mm; 1 instance(s); placed on its host surface. Materials: per family default.</t>
  </si>
  <si>
    <t xml:space="preserve">SM_FF_MW_12</t>
  </si>
  <si>
    <t xml:space="preserve">MW-13</t>
  </si>
  <si>
    <t xml:space="preserve">Limited-edition print</t>
  </si>
  <si>
    <t xml:space="preserve">Limited-edition print. Build: Framed artwork: walnut frame, canvas plane with image texture slot; wall stand-off 2 mm. Size: 450 × 40 × H 600 mm; 1 instance(s); wall-mounted, faces S. Materials: per family default.</t>
  </si>
  <si>
    <t xml:space="preserve">SM_FF_ART_FRAME_450x40x600</t>
  </si>
  <si>
    <t xml:space="preserve">SM_FF_MW_13</t>
  </si>
  <si>
    <t xml:space="preserve">MW-14</t>
  </si>
  <si>
    <t xml:space="preserve">Walnut veneer</t>
  </si>
  <si>
    <t xml:space="preserve">FINISH_WALL</t>
  </si>
  <si>
    <t xml:space="preserve">gen_wall_finish</t>
  </si>
  <si>
    <t xml:space="preserve">{"apply_to": "all walls", "material": "walnut veneer (joinery)"}</t>
  </si>
  <si>
    <t xml:space="preserve">Walnut veneer. Build: Applies a wall material (paint / plaster / tile / cladding) to all wall faces of the room. Size: room 3457 × 2034 × H 0 mm; 1 instance(s); applied to the whole room. Materials: M_Walnut.</t>
  </si>
  <si>
    <t xml:space="preserve">SM_FF_MW_FINISH_WALL</t>
  </si>
  <si>
    <t xml:space="preserve">SM_FF_MW_14</t>
  </si>
  <si>
    <t xml:space="preserve">MW-15</t>
  </si>
  <si>
    <t xml:space="preserve">Leather-wrapped handles</t>
  </si>
  <si>
    <t xml:space="preserve">{"insert": "handles"}</t>
  </si>
  <si>
    <t xml:space="preserve">M_Leather_Cognac</t>
  </si>
  <si>
    <t xml:space="preserve">Leather-wrapped handles. Build: Parametric insert built into its host joinery (wardrobe / drawer bank / shelf unit): drawers, glass-top trays, pull-outs, hamper, display shelves, handles or door type — sized from the host module. Size: 250 × 250 × H 0 mm; 1 instance(s); placed on its host surface. Materials: M_Leather_Cognac.</t>
  </si>
  <si>
    <t xml:space="preserve">SM_FF_MW_15</t>
  </si>
  <si>
    <t xml:space="preserve">MW-16</t>
  </si>
  <si>
    <t xml:space="preserve">Fabric-lined drawers</t>
  </si>
  <si>
    <t xml:space="preserve">{"insert": "drawers"}</t>
  </si>
  <si>
    <t xml:space="preserve">Fabric-lined drawers. Build: Parametric insert built into its host joinery (wardrobe / drawer bank / shelf unit): drawers, glass-top trays, pull-outs, hamper, display shelves, handles or door type — sized from the host module. Size: 250 × 250 × H 0 mm; 1 instance(s); placed on its host surface. Materials: per family default.</t>
  </si>
  <si>
    <t xml:space="preserve">SM_FF_MW_16</t>
  </si>
  <si>
    <t xml:space="preserve">MW-17</t>
  </si>
  <si>
    <t xml:space="preserve">Herringbone oak floor</t>
  </si>
  <si>
    <t xml:space="preserve">{"pattern": "herringbone oak", "grout": 2}</t>
  </si>
  <si>
    <t xml:space="preserve">Herringbone oak floor. Build: Room-polygon floor finish (herringbone / large-format stone / deck boards) with pattern-aware UVs. Size: room 3457 × 2034 × H 15 mm; 1 instance(s); applied to the whole room. Materials: M_Oak_Light, M_Oak_Herringbone.</t>
  </si>
  <si>
    <t xml:space="preserve">SM_FF_MW_FINISH_FLOOR</t>
  </si>
  <si>
    <t xml:space="preserve">SM_FF_MW_17</t>
  </si>
  <si>
    <t xml:space="preserve">MW-18</t>
  </si>
  <si>
    <t xml:space="preserve">Shelf LEDs (auto-on with doors)</t>
  </si>
  <si>
    <t xml:space="preserve">Shelf LEDs (auto-on with doors). Build: Concealed LED strip along the given line (rect light, emissive strip). Size: 3200 × 40 × H 10 mm; 1 instance(s); placed on its host surface. Materials: per family default.</t>
  </si>
  <si>
    <t xml:space="preserve">SM_FF_LIGHT_LED_STRIP_3200x40x10</t>
  </si>
  <si>
    <t xml:space="preserve">SM_FF_MW_18</t>
  </si>
  <si>
    <t xml:space="preserve">MW-19</t>
  </si>
  <si>
    <t xml:space="preserve">Linear aisle light</t>
  </si>
  <si>
    <t xml:space="preserve">Linear aisle light. Build: Recessed linear LED profile (rect light in UE). Size: 2400 × 40 × H 40 mm; 1 instance(s); ceiling-hung / recessed. Materials: M_Brass_Brushed.</t>
  </si>
  <si>
    <t xml:space="preserve">SM_FF_LIGHT_LINEAR_2400x40x40</t>
  </si>
  <si>
    <t xml:space="preserve">SM_FF_MW_19</t>
  </si>
  <si>
    <t xml:space="preserve">MW-20</t>
  </si>
  <si>
    <t xml:space="preserve">Mirror-side lighting</t>
  </si>
  <si>
    <t xml:space="preserve">{"beam_deg": 40, "type": "mirror light"}</t>
  </si>
  <si>
    <t xml:space="preserve">Mirror-side lighting. Build: Recessed downlight / uplight / picture light / niche light. Size: Ø160 × H 80 mm; 1 instance(s); ceiling-hung / recessed. Materials: M_Brass_Brushed.</t>
  </si>
  <si>
    <t xml:space="preserve">SM_FF_LIGHT_SPOT_160x160x80</t>
  </si>
  <si>
    <t xml:space="preserve">SM_FF_MW_20</t>
  </si>
  <si>
    <t xml:space="preserve">MW-21</t>
  </si>
  <si>
    <t xml:space="preserve">Wool runner 600×2400</t>
  </si>
  <si>
    <t xml:space="preserve">Wool runner 600×2400. Build: Rug slab with bevelled edge; shag variant uses displaced grid; hand-knotted pattern texture slot. Size: 2400 × 600 × H 12 mm; 1 instance(s); floor-standing. Materials: M_Wool_Rug.</t>
  </si>
  <si>
    <t xml:space="preserve">SM_FF_RUG_2400x600x12</t>
  </si>
  <si>
    <t xml:space="preserve">SM_FF_MW_21</t>
  </si>
  <si>
    <t xml:space="preserve">MT-01</t>
  </si>
  <si>
    <t xml:space="preserve">Double walnut vanity 1500 with Calacatta Viola top</t>
  </si>
  <si>
    <t xml:space="preserve">VANITY</t>
  </si>
  <si>
    <t xml:space="preserve">gen_vanity</t>
  </si>
  <si>
    <t xml:space="preserve">{"depth": 550, "basins": 2, "top": "Calacatta Viola 30", "carcass": "walnut", "wall_hung": true}</t>
  </si>
  <si>
    <t xml:space="preserve">M_Walnut, M_Marble_CalacattaViola</t>
  </si>
  <si>
    <t xml:space="preserve">Double walnut vanity 1500 with Calacatta Viola top. Build: Wall-hung walnut vanity, 30 mm Calacatta Viola top with eased edge, undermount/vessel basin(s), brass PVD tap per basin. Size: 1500 × 545 × H 850 mm; 1 instance(s); wall-mounted, faces —. Materials: M_Walnut, M_Marble_CalacattaViola.</t>
  </si>
  <si>
    <t xml:space="preserve">SM_FF_VANITY_1500x540x850</t>
  </si>
  <si>
    <t xml:space="preserve">SM_FF_MT_01</t>
  </si>
  <si>
    <t xml:space="preserve">MT-02</t>
  </si>
  <si>
    <t xml:space="preserve">Wall-hung WC with concealed cistern and brass flush plate</t>
  </si>
  <si>
    <t xml:space="preserve">WC_WALLHUNG</t>
  </si>
  <si>
    <t xml:space="preserve">gen_wc</t>
  </si>
  <si>
    <t xml:space="preserve">{"pan": "540×370", "cistern": "concealed", "flush_plate": "brushed brass"}</t>
  </si>
  <si>
    <t xml:space="preserve">M_Brass_Brushed, M_Resin_StoneWhite</t>
  </si>
  <si>
    <t xml:space="preserve">Wall-hung WC with concealed cistern and brass flush plate. Build: Wall-hung pan (generated from rounded profile), concealed cistern frame in a 150 mm ledge, brushed-brass flush plate. Size: 495 × 380 × H 400 mm; 1 instance(s); wall-mounted, faces —. Materials: M_Brass_Brushed, M_Resin_StoneWhite.</t>
  </si>
  <si>
    <t xml:space="preserve">SM_FF_WC_WALLHUNG_500x380x400</t>
  </si>
  <si>
    <t xml:space="preserve">SM_FF_MT_02</t>
  </si>
  <si>
    <t xml:space="preserve">MT-03</t>
  </si>
  <si>
    <t xml:space="preserve">Walk-in shower 1650×1000 with frameless low-iron glass</t>
  </si>
  <si>
    <t xml:space="preserve">SHOWER_ENCLOSURE</t>
  </si>
  <si>
    <t xml:space="preserve">gen_shower</t>
  </si>
  <si>
    <t xml:space="preserve">{"tray": "flush microcement", "glass": "frameless low-iron 10 mm", "drain": "linear brass", "rain_head": "Ø300 brass"}</t>
  </si>
  <si>
    <t xml:space="preserve">M_Glass_LowIron, M_Microcement_Grey, M_Brass_Brushed</t>
  </si>
  <si>
    <t xml:space="preserve">Walk-in shower 1650×1000 with frameless low-iron glass. Build: Walk-in shower zone: flush floor with linear drain, frameless low-iron glass panel(s) with brass clamps, ceiling rain head + handheld set. Size: 1595 × 953 × H 2100 mm; 1 instance(s); floor-standing. Materials: M_Glass_LowIron, M_Microcement_Grey, M_Brass_Brushed.</t>
  </si>
  <si>
    <t xml:space="preserve">SM_FF_SHOWER_ENCLOSURE_1600x950x2100</t>
  </si>
  <si>
    <t xml:space="preserve">SM_FF_MT_03</t>
  </si>
  <si>
    <t xml:space="preserve">MT-04</t>
  </si>
  <si>
    <t xml:space="preserve">Teak shower bench</t>
  </si>
  <si>
    <t xml:space="preserve">SHOWER_BENCH</t>
  </si>
  <si>
    <t xml:space="preserve">gen_shower_bench</t>
  </si>
  <si>
    <t xml:space="preserve">{"slat_w": 45, "slat_gap": 8}</t>
  </si>
  <si>
    <t xml:space="preserve">M_Teak_Outdoor</t>
  </si>
  <si>
    <t xml:space="preserve">Teak shower bench. Build: Teak slatted bench on stainless brackets. Size: 980 × 340 × H 450 mm; 1 instance(s); floor-standing. Materials: M_Teak_Outdoor.</t>
  </si>
  <si>
    <t xml:space="preserve">SM_FF_SHOWER_BENCH_980x340x450</t>
  </si>
  <si>
    <t xml:space="preserve">SM_FF_MT_04</t>
  </si>
  <si>
    <t xml:space="preserve">MT-05</t>
  </si>
  <si>
    <t xml:space="preserve">Plum lacquer tall cabinet</t>
  </si>
  <si>
    <t xml:space="preserve">TALL_CABINET</t>
  </si>
  <si>
    <t xml:space="preserve">gen_tall_cabinet</t>
  </si>
  <si>
    <t xml:space="preserve">{"depth": 400, "finish": "plum lacquer", "doors": 1}</t>
  </si>
  <si>
    <t xml:space="preserve">M_Lacquer_Plum</t>
  </si>
  <si>
    <t xml:space="preserve">Plum lacquer tall cabinet. Build: Tall bathroom cabinet with a single lacquered door, shadow-gap handle. Size: 395 × 355 × H 2100 mm; 1 instance(s); floor-standing. Materials: M_Lacquer_Plum.</t>
  </si>
  <si>
    <t xml:space="preserve">SM_FF_TALL_CABINET_400x360x2100</t>
  </si>
  <si>
    <t xml:space="preserve">SM_FF_MT_05</t>
  </si>
  <si>
    <t xml:space="preserve">MT-06</t>
  </si>
  <si>
    <t xml:space="preserve">Recessed mirror cabinet</t>
  </si>
  <si>
    <t xml:space="preserve">RECESSED</t>
  </si>
  <si>
    <t xml:space="preserve">gen_recess</t>
  </si>
  <si>
    <t xml:space="preserve">{"depth": 100, "type": "mirror cabinet"}</t>
  </si>
  <si>
    <t xml:space="preserve">Recessed mirror cabinet. Build: Wall recess (niche / mirror cabinet / towel shelf) cut as a Boolean into the host wall, lined with the listed material, LED strip optional. Size: 550 × 40 × H 700 mm; 1 instance(s); wall-mounted, faces W. Materials: per family default.</t>
  </si>
  <si>
    <t xml:space="preserve">SM_FF_RECESSED_550x40x700</t>
  </si>
  <si>
    <t xml:space="preserve">SM_FF_MT_06</t>
  </si>
  <si>
    <t xml:space="preserve">MT-07</t>
  </si>
  <si>
    <t xml:space="preserve">Towel shelf</t>
  </si>
  <si>
    <t xml:space="preserve">{"depth": 100, "type": "towel shelf"}</t>
  </si>
  <si>
    <t xml:space="preserve">Towel shelf. Build: Wall recess (niche / mirror cabinet / towel shelf) cut as a Boolean into the host wall, lined with the listed material, LED strip optional. Size: 380 × 40 × H 300 mm; 1 instance(s); wall-mounted, faces N. Materials: per family default.</t>
  </si>
  <si>
    <t xml:space="preserve">SM_FF_RECESSED_380x40x300</t>
  </si>
  <si>
    <t xml:space="preserve">SM_FF_MT_07</t>
  </si>
  <si>
    <t xml:space="preserve">MT-08</t>
  </si>
  <si>
    <t xml:space="preserve">Pair of organic mirrors</t>
  </si>
  <si>
    <t xml:space="preserve">{"shape": "organic", "frame": "brass 8", "backlight": true, "centre_h": 1500}</t>
  </si>
  <si>
    <t xml:space="preserve">Pair of organic mirrors. Build: Mirror plane with brass/bronze frame; shape: round / oval / organic spline / full-length. Size: 750 × 40 × H 900 mm; 2 instance(s); wall-mounted, faces W. Materials: per family default.</t>
  </si>
  <si>
    <t xml:space="preserve">SM_FF_MIRROR_750x40x900</t>
  </si>
  <si>
    <t xml:space="preserve">SM_FF_MT_08</t>
  </si>
  <si>
    <t xml:space="preserve">MT-09</t>
  </si>
  <si>
    <t xml:space="preserve">Viola marble niche</t>
  </si>
  <si>
    <t xml:space="preserve">{"depth": 100, "type": "Viola niche"}</t>
  </si>
  <si>
    <t xml:space="preserve">M_Marble_CalacattaViola</t>
  </si>
  <si>
    <t xml:space="preserve">Viola marble niche. Build: Wall recess (niche / mirror cabinet / towel shelf) cut as a Boolean into the host wall, lined with the listed material, LED strip optional. Size: 300 × 40 × H 400 mm; 1 instance(s); wall-mounted, faces E. Materials: M_Marble_CalacattaViola.</t>
  </si>
  <si>
    <t xml:space="preserve">SM_FF_RECESSED_300x40x400</t>
  </si>
  <si>
    <t xml:space="preserve">SM_FF_MT_09</t>
  </si>
  <si>
    <t xml:space="preserve">MT-10</t>
  </si>
  <si>
    <t xml:space="preserve">Brass dispenser and tray set</t>
  </si>
  <si>
    <t xml:space="preserve">{"type": "tray + dispenser", "scatter_on": "host top"}</t>
  </si>
  <si>
    <t xml:space="preserve">Brass dispenser and tray set. Build: Small décor generated from the accessory kit (vase, tray, books, bowl, candles, diffuser, towels…) and dropped onto the host surface at the marked point. Size: 250 × 250 × H 150 mm; 1 instance(s); placed on its host surface. Materials: M_Brass_Brushed.</t>
  </si>
  <si>
    <t xml:space="preserve">SM_FF_MT_10</t>
  </si>
  <si>
    <t xml:space="preserve">MT-11</t>
  </si>
  <si>
    <t xml:space="preserve">SM_FF_MT_11</t>
  </si>
  <si>
    <t xml:space="preserve">MT-12</t>
  </si>
  <si>
    <t xml:space="preserve">Rolled towels</t>
  </si>
  <si>
    <t xml:space="preserve">{"items": "towels + towel"}</t>
  </si>
  <si>
    <t xml:space="preserve">Rolled towels. Build: Cushions / throws / bed runner / towels / bath mat generated from the soft-furnishing kit onto the host. Size: 250 × 250 × H 150 mm; 1 instance(s); placed on its host surface. Materials: per family default.</t>
  </si>
  <si>
    <t xml:space="preserve">SM_FF_MT_12</t>
  </si>
  <si>
    <t xml:space="preserve">MT-13</t>
  </si>
  <si>
    <t xml:space="preserve">SM_FF_MT_13</t>
  </si>
  <si>
    <t xml:space="preserve">MT-14</t>
  </si>
  <si>
    <t xml:space="preserve">White fluted tile</t>
  </si>
  <si>
    <t xml:space="preserve">{"apply_to": "all walls", "material": "white fluted tile"}</t>
  </si>
  <si>
    <t xml:space="preserve">M_Tile_FlutedWhite</t>
  </si>
  <si>
    <t xml:space="preserve">White fluted tile. Build: Applies a wall material (paint / plaster / tile / cladding) to all wall faces of the room. Size: room 3457 × 1684 × H 0 mm; 1 instance(s); applied to the whole room. Materials: M_Tile_FlutedWhite.</t>
  </si>
  <si>
    <t xml:space="preserve">SM_FF_MT_FINISH_WALL</t>
  </si>
  <si>
    <t xml:space="preserve">SM_FF_MT_14</t>
  </si>
  <si>
    <t xml:space="preserve">MT-15</t>
  </si>
  <si>
    <t xml:space="preserve">Viola marble feature wall in the shower</t>
  </si>
  <si>
    <t xml:space="preserve">{"type": "Calacatta Viola slabs", "module": 60, "depth": 40}</t>
  </si>
  <si>
    <t xml:space="preserve">Viola marble feature wall in the shower. Build: Feature wall panel: walnut slats (module 60 / gap 15), fluted walnut, upholstered fabric panels or marble slabs with bronze trims. Size: 1595 × 40 × H 2700 mm; 1 instance(s); wall-mounted, faces S. Materials: M_Marble_CalacattaViola.</t>
  </si>
  <si>
    <t xml:space="preserve">SM_FF_WALL_FEATURE_PANEL_1600x40x2700</t>
  </si>
  <si>
    <t xml:space="preserve">SM_FF_MT_15</t>
  </si>
  <si>
    <t xml:space="preserve">MT-16</t>
  </si>
  <si>
    <t xml:space="preserve">Grey microcement floor (underfloor-heated)</t>
  </si>
  <si>
    <t xml:space="preserve">{"pattern": "microcement (heated)", "grout": 2}</t>
  </si>
  <si>
    <t xml:space="preserve">M_Microcement_Grey</t>
  </si>
  <si>
    <t xml:space="preserve">Grey microcement floor (underfloor-heated). Build: Room-polygon floor finish (herringbone / large-format stone / deck boards) with pattern-aware UVs. Size: room 3457 × 1684 × H 15 mm; 1 instance(s); applied to the whole room. Materials: M_Microcement_Grey.</t>
  </si>
  <si>
    <t xml:space="preserve">SM_FF_MT_FINISH_FLOOR</t>
  </si>
  <si>
    <t xml:space="preserve">SM_FF_MT_16</t>
  </si>
  <si>
    <t xml:space="preserve">MT-17</t>
  </si>
  <si>
    <t xml:space="preserve">Brushed-brass PVD rain shower, handheld and taps</t>
  </si>
  <si>
    <t xml:space="preserve">{"type": "brass PVD shower + taps set", "scatter_on": "host top"}</t>
  </si>
  <si>
    <t xml:space="preserve">Brushed-brass PVD rain shower, handheld and taps. Build: Small décor generated from the accessory kit (vase, tray, books, bowl, candles, diffuser, towels…) and dropped onto the host surface at the marked point. Size: 250 × 250 × H 150 mm; 1 instance(s); placed on its host surface. Materials: M_Brass_Brushed.</t>
  </si>
  <si>
    <t xml:space="preserve">SM_FF_MT_17</t>
  </si>
  <si>
    <t xml:space="preserve">MT-18</t>
  </si>
  <si>
    <t xml:space="preserve">Globe sconces ×2</t>
  </si>
  <si>
    <t xml:space="preserve">{"style": "globe", "centre_h": 1600}</t>
  </si>
  <si>
    <t xml:space="preserve">Globe sconces ×2. Build: Wall sconce with back plate, emissive diffuser + UE light. Size: Ø180 × H 200 mm; 2 instance(s); wall-mounted, faces —. Materials: per family default.</t>
  </si>
  <si>
    <t xml:space="preserve">SM_FF_LIGHT_SCONCE_180x180x200</t>
  </si>
  <si>
    <t xml:space="preserve">SM_FF_MT_18</t>
  </si>
  <si>
    <t xml:space="preserve">MT-19</t>
  </si>
  <si>
    <t xml:space="preserve">Mirror backlight</t>
  </si>
  <si>
    <t xml:space="preserve">Mirror backlight. Build: Concealed LED strip along the given line (rect light, emissive strip). Size: 1300 × 40 × H 10 mm; 1 instance(s); placed on its host surface. Materials: per family default.</t>
  </si>
  <si>
    <t xml:space="preserve">SM_FF_LIGHT_LED_STRIP_1300x40x10</t>
  </si>
  <si>
    <t xml:space="preserve">SM_FF_MT_19</t>
  </si>
  <si>
    <t xml:space="preserve">MT-20</t>
  </si>
  <si>
    <t xml:space="preserve">Niche LED</t>
  </si>
  <si>
    <t xml:space="preserve">{"beam_deg": 40, "type": "niche"}</t>
  </si>
  <si>
    <t xml:space="preserve">Niche LED. Build: Recessed downlight / uplight / picture light / niche light. Size: Ø150 × H 80 mm; 1 instance(s); ceiling-hung / recessed. Materials: M_Brass_Brushed.</t>
  </si>
  <si>
    <t xml:space="preserve">SM_FF_LIGHT_SPOT_150x150x80</t>
  </si>
  <si>
    <t xml:space="preserve">SM_FF_MT_20</t>
  </si>
  <si>
    <t xml:space="preserve">MT-21</t>
  </si>
  <si>
    <t xml:space="preserve">Shower downlight</t>
  </si>
  <si>
    <t xml:space="preserve">{"beam_deg": 40, "type": "shower downlight"}</t>
  </si>
  <si>
    <t xml:space="preserve">Shower downlight. Build: Recessed downlight / uplight / picture light / niche light. Size: Ø200 × H 80 mm; 1 instance(s); ceiling-hung / recessed. Materials: M_Brass_Brushed.</t>
  </si>
  <si>
    <t xml:space="preserve">SM_FF_LIGHT_SPOT_200x200x80</t>
  </si>
  <si>
    <t xml:space="preserve">SM_FF_MT_21</t>
  </si>
  <si>
    <t xml:space="preserve">MT-22</t>
  </si>
  <si>
    <t xml:space="preserve">Brass heated towel ladder</t>
  </si>
  <si>
    <t xml:space="preserve">{"type": "heated towel ladder", "scatter_on": "host top"}</t>
  </si>
  <si>
    <t xml:space="preserve">Brass heated towel ladder. Build: Small décor generated from the accessory kit (vase, tray, books, bowl, candles, diffuser, towels…) and dropped onto the host surface at the marked point. Size: 600 × 44 × H 1200 mm; 1 instance(s); placed on its host surface. Materials: M_Brass_Brushed.</t>
  </si>
  <si>
    <t xml:space="preserve">SM_FF_ACCESSORY_600x40x1200</t>
  </si>
  <si>
    <t xml:space="preserve">SM_FF_MT_22</t>
  </si>
  <si>
    <t xml:space="preserve">MT-23</t>
  </si>
  <si>
    <t xml:space="preserve">Egyptian-cotton towels in plum and ivory</t>
  </si>
  <si>
    <t xml:space="preserve">Egyptian-cotton towels in plum and ivory. Build: Cushions / throws / bed runner / towels / bath mat generated from the soft-furnishing kit onto the host. Size: 250 × 250 × H 150 mm; 1 instance(s); placed on its host surface. Materials: M_Lacquer_Plum.</t>
  </si>
  <si>
    <t xml:space="preserve">SM_FF_MT_23</t>
  </si>
  <si>
    <t xml:space="preserve">MT-24</t>
  </si>
  <si>
    <t xml:space="preserve">Plush bath mat</t>
  </si>
  <si>
    <t xml:space="preserve">{"pile": "low", "edge_bevel": 5, "pattern": "bath mat"}</t>
  </si>
  <si>
    <t xml:space="preserve">Plush bath mat. Build: Rug slab with bevelled edge; shag variant uses displaced grid; hand-knotted pattern texture slot. Size: 600 × 500 × H 12 mm; 1 instance(s); floor-standing. Materials: M_Wool_Rug.</t>
  </si>
  <si>
    <t xml:space="preserve">SM_FF_RUG_600x500x12</t>
  </si>
  <si>
    <t xml:space="preserve">SM_FF_MT_24</t>
  </si>
  <si>
    <t xml:space="preserve">B1-01</t>
  </si>
  <si>
    <t xml:space="preserve">King bed 1829×1981 with walnut-slat headboard and taupe fabric panels</t>
  </si>
  <si>
    <t xml:space="preserve">M_Walnut, M_Velvet_Taupe, M_Velvet_Cream</t>
  </si>
  <si>
    <t xml:space="preserve">King bed 1829×1981 with walnut-slat headboard and taupe fabric panels. Build: Upholstered platform base on a recessed plinth; mattress block with 40 mm rounded edges; duvet/bed-runner layer draped 120 mm over the sides; 2–4 pillows generated from PILLOW sub-family. Headboard wall is a separate finish family. Size: 1981 × 1829 × H 450 mm; 1 instance(s); floor-standing. Materials: M_Walnut, M_Velvet_Taupe, M_Velvet_Cream.</t>
  </si>
  <si>
    <t xml:space="preserve">SM_FF_B1_01</t>
  </si>
  <si>
    <t xml:space="preserve">B1-02</t>
  </si>
  <si>
    <t xml:space="preserve">SM_FF_B1_02</t>
  </si>
  <si>
    <t xml:space="preserve">B1-03</t>
  </si>
  <si>
    <t xml:space="preserve">Walnut dresser 1200×450 with oval brass mirror</t>
  </si>
  <si>
    <t xml:space="preserve">DRESSER</t>
  </si>
  <si>
    <t xml:space="preserve">gen_dresser</t>
  </si>
  <si>
    <t xml:space="preserve">{"drawers": 6, "mirror": "oval brass 600×900", "handles": "bronze pulls"}</t>
  </si>
  <si>
    <t xml:space="preserve">Walnut dresser 1200×450 with oval brass mirror. Build: Six-drawer walnut dresser with bronze pulls; separate oval brass-framed mirror wall-hung above (centre +1500). Size: 1200 × 450 × H 800 mm; 1 instance(s); floor-standing. Materials: M_Walnut, M_Brass_Brushed.</t>
  </si>
  <si>
    <t xml:space="preserve">SM_FF_DRESSER_1200x450x800</t>
  </si>
  <si>
    <t xml:space="preserve">SM_FF_B1_03</t>
  </si>
  <si>
    <t xml:space="preserve">B1-04</t>
  </si>
  <si>
    <t xml:space="preserve">Velvet corner lounge chair with brass reading lamp</t>
  </si>
  <si>
    <t xml:space="preserve">NE</t>
  </si>
  <si>
    <t xml:space="preserve">M_Velvet_Cream, M_Brass_Brushed</t>
  </si>
  <si>
    <t xml:space="preserve">Velvet corner lounge chair with brass reading lamp. Build: Club/lounge chair: sculpted shell or box body with rounded arms, loose seat cushion, 4 tapered bronze legs fitted into a sub-frame plate (no gaps). Size: Ø760 × H 800 mm; 1 instance(s); floor-standing. Materials: M_Velvet_Cream, M_Brass_Brushed.</t>
  </si>
  <si>
    <t xml:space="preserve">SM_FF_B1_04</t>
  </si>
  <si>
    <t xml:space="preserve">B1-05</t>
  </si>
  <si>
    <t xml:space="preserve">SM_FF_B1_05</t>
  </si>
  <si>
    <t xml:space="preserve">B1-06</t>
  </si>
  <si>
    <t xml:space="preserve">TV set into the walnut slat wall above a slim console</t>
  </si>
  <si>
    <t xml:space="preserve">{"type": "floating", "fronts": "flush", "tv_size_in": 65, "tv_recess_depth": 60}</t>
  </si>
  <si>
    <t xml:space="preserve">TV set into the walnut slat wall above a slim console. Build: Slim walnut media console (floating or on brass legs) with flush push-open fronts; TV generated as a black-glass slab recessed into the host panel. Size: 1500 × 350 × H 450 mm; 1 instance(s); floor-standing. Materials: M_Walnut.</t>
  </si>
  <si>
    <t xml:space="preserve">SM_FF_MEDIA_CONSOLE_1500x350x450</t>
  </si>
  <si>
    <t xml:space="preserve">SM_FF_B1_06</t>
  </si>
  <si>
    <t xml:space="preserve">B1-07</t>
  </si>
  <si>
    <t xml:space="preserve">Bouclé ottoman</t>
  </si>
  <si>
    <t xml:space="preserve">Bouclé ottoman. Build: Cylindrical pouf with large bevel (60) and subdivision, bouclé normal detail. Size: Ø450 × H 420 mm; 1 instance(s); floor-standing. Materials: M_Boucle_Grey.</t>
  </si>
  <si>
    <t xml:space="preserve">SM_FF_B1_07</t>
  </si>
  <si>
    <t xml:space="preserve">B1-08</t>
  </si>
  <si>
    <t xml:space="preserve">Tall plant in a stone planter</t>
  </si>
  <si>
    <t xml:space="preserve">Tall plant in a stone planter. Build: Stone planter (tapered cylinder) + branch generator (depth 4–5) with olive leaf cards; geometry trimmed 15 mm off walls / 2.70 m ceiling (same as GF QC). Size: Ø500 × H 1500 mm; 1 instance(s); floor-standing. Materials: M_Travertine, M_Foliage_Olive.</t>
  </si>
  <si>
    <t xml:space="preserve">SM_FF_PLANTER_TREE_500x500x1500</t>
  </si>
  <si>
    <t xml:space="preserve">SM_FF_B1_08</t>
  </si>
  <si>
    <t xml:space="preserve">B1-09</t>
  </si>
  <si>
    <t xml:space="preserve">Framed abstract</t>
  </si>
  <si>
    <t xml:space="preserve">Framed abstract. Build: Framed artwork: walnut frame, canvas plane with image texture slot; wall stand-off 2 mm. Size: 1000 × 40 × H 1200 mm; 1 instance(s); wall-mounted, faces W. Materials: per family default.</t>
  </si>
  <si>
    <t xml:space="preserve">SM_FF_ART_FRAME_1000x40x1200</t>
  </si>
  <si>
    <t xml:space="preserve">SM_FF_B1_09</t>
  </si>
  <si>
    <t xml:space="preserve">B1-10</t>
  </si>
  <si>
    <t xml:space="preserve">Art pair above the dresser</t>
  </si>
  <si>
    <t xml:space="preserve">Art pair above the dresser. Build: Framed artwork: walnut frame, canvas plane with image texture slot; wall stand-off 2 mm. Size: 500 × 40 × H 700 mm; 2 instance(s); wall-mounted, faces E. Materials: per family default.</t>
  </si>
  <si>
    <t xml:space="preserve">SM_FF_ART_FRAME_500x40x700</t>
  </si>
  <si>
    <t xml:space="preserve">SM_FF_B1_10</t>
  </si>
  <si>
    <t xml:space="preserve">B1-11</t>
  </si>
  <si>
    <t xml:space="preserve">Tray with ceramics</t>
  </si>
  <si>
    <t xml:space="preserve">{"type": "tray + ceramics", "scatter_on": "host top"}</t>
  </si>
  <si>
    <t xml:space="preserve">Tray with ceramics. Build: Small décor generated from the accessory kit (vase, tray, books, bowl, candles, diffuser, towels…) and dropped onto the host surface at the marked point. Size: 250 × 250 × H 150 mm; 1 instance(s); placed on its host surface. Materials: M_Ceramic_Matte.</t>
  </si>
  <si>
    <t xml:space="preserve">SM_FF_B1_11</t>
  </si>
  <si>
    <t xml:space="preserve">B1-12</t>
  </si>
  <si>
    <t xml:space="preserve">Vase with dried stems</t>
  </si>
  <si>
    <t xml:space="preserve">{"type": "vase + stems", "scatter_on": "host top"}</t>
  </si>
  <si>
    <t xml:space="preserve">Vase with dried stems. Build: Small décor generated from the accessory kit (vase, tray, books, bowl, candles, diffuser, towels…) and dropped onto the host surface at the marked point. Size: 250 × 250 × H 150 mm; 1 instance(s); placed on its host surface. Materials: M_Ceramic_Matte.</t>
  </si>
  <si>
    <t xml:space="preserve">SM_FF_B1_12</t>
  </si>
  <si>
    <t xml:space="preserve">B1-13</t>
  </si>
  <si>
    <t xml:space="preserve">Books</t>
  </si>
  <si>
    <t xml:space="preserve">Books. Build: Small décor generated from the accessory kit (vase, tray, books, bowl, candles, diffuser, towels…) and dropped onto the host surface at the marked point. Size: 250 × 250 × H 150 mm; 1 instance(s); placed on its host surface. Materials: per family default.</t>
  </si>
  <si>
    <t xml:space="preserve">SM_FF_B1_13</t>
  </si>
  <si>
    <t xml:space="preserve">B1-14</t>
  </si>
  <si>
    <t xml:space="preserve">Walnut slat headboard with bronze trims</t>
  </si>
  <si>
    <t xml:space="preserve">{"type": "walnut slats + bronze trims", "module": 60, "depth": 40}</t>
  </si>
  <si>
    <t xml:space="preserve">Walnut slat headboard with bronze trims. Build: Feature wall panel: walnut slats (module 60 / gap 15), fluted walnut, upholstered fabric panels or marble slabs with bronze trims. Size: 2900 × 100 × H 2700 mm; 1 instance(s); wall-mounted, faces N. Materials: M_Walnut, M_Bronze_Dark.</t>
  </si>
  <si>
    <t xml:space="preserve">SM_FF_WALL_FEATURE_PANEL_2900x100x2700</t>
  </si>
  <si>
    <t xml:space="preserve">SM_FF_B1_14</t>
  </si>
  <si>
    <t xml:space="preserve">B1-15</t>
  </si>
  <si>
    <t xml:space="preserve">Taupe fabric panels</t>
  </si>
  <si>
    <t xml:space="preserve">{"type": "taupe upholstered", "module": 60, "depth": 40}</t>
  </si>
  <si>
    <t xml:space="preserve">M_Velvet_Taupe</t>
  </si>
  <si>
    <t xml:space="preserve">Taupe fabric panels. Build: Feature wall panel: walnut slats (module 60 / gap 15), fluted walnut, upholstered fabric panels or marble slabs with bronze trims. Size: 480 × 40 × H 2700 mm; 2 instance(s); wall-mounted, faces N. Materials: M_Velvet_Taupe.</t>
  </si>
  <si>
    <t xml:space="preserve">SM_FF_WALL_FEATURE_PANEL_480x40x2700</t>
  </si>
  <si>
    <t xml:space="preserve">SM_FF_B1_15</t>
  </si>
  <si>
    <t xml:space="preserve">B1-16</t>
  </si>
  <si>
    <t xml:space="preserve">Cove ceiling</t>
  </si>
  <si>
    <t xml:space="preserve">Cove ceiling. Build: Stepped tray ceiling with cornice and concealed LED cove (2700 K). Size: 3000 × 2700 × H 200 mm; 1 instance(s); ceiling-hung / recessed. Materials: M_Paint_WarmWhite.</t>
  </si>
  <si>
    <t xml:space="preserve">SM_FF_B1_CEILING_TRAY</t>
  </si>
  <si>
    <t xml:space="preserve">SM_FF_B1_16</t>
  </si>
  <si>
    <t xml:space="preserve">B1-17</t>
  </si>
  <si>
    <t xml:space="preserve">Herringbone oak floor (engineered, hand-oiled). Build: Room-polygon floor finish (herringbone / large-format stone / deck boards) with pattern-aware UVs. Size: room 4315 × 4115 × H 15 mm; 1 instance(s); applied to the whole room. Materials: M_Oak_Light, M_Oak_Herringbone.</t>
  </si>
  <si>
    <t xml:space="preserve">SM_FF_B1_FINISH_FLOOR</t>
  </si>
  <si>
    <t xml:space="preserve">SM_FF_B1_17</t>
  </si>
  <si>
    <t xml:space="preserve">B1-18</t>
  </si>
  <si>
    <t xml:space="preserve">Linear lights</t>
  </si>
  <si>
    <t xml:space="preserve">Linear lights. Build: Recessed linear LED profile (rect light in UE). Size: 1400 × 40 × H 40 mm; 2 instance(s); ceiling-hung / recessed. Materials: M_Brass_Brushed.</t>
  </si>
  <si>
    <t xml:space="preserve">SM_FF_LIGHT_LINEAR_1400x40x40</t>
  </si>
  <si>
    <t xml:space="preserve">SM_FF_B1_18</t>
  </si>
  <si>
    <t xml:space="preserve">B1-19</t>
  </si>
  <si>
    <t xml:space="preserve">Bedside pendants ×2 (replace table lamps)</t>
  </si>
  <si>
    <t xml:space="preserve">Bedside pendants ×2 (replace table lamps). Build: Bedside / feature pendant with canopy, cable and shade. Size: Ø260 × H 350 mm; 2 instance(s); ceiling-hung / recessed. Materials: per family default.</t>
  </si>
  <si>
    <t xml:space="preserve">SM_FF_B1_19</t>
  </si>
  <si>
    <t xml:space="preserve">B1-20</t>
  </si>
  <si>
    <t xml:space="preserve">Under-bed LED. Build: Concealed LED strip along the given line (rect light, emissive strip). Size: 2021 × 1869 × H 10 mm; 1 instance(s); placed on its host surface. Materials: per family default.</t>
  </si>
  <si>
    <t xml:space="preserve">SM_FF_B1_20</t>
  </si>
  <si>
    <t xml:space="preserve">B1-21</t>
  </si>
  <si>
    <t xml:space="preserve">Designer ceiling fan</t>
  </si>
  <si>
    <t xml:space="preserve">M_Bronze_Dark, M_Walnut</t>
  </si>
  <si>
    <t xml:space="preserve">Designer ceiling fan. Build: Designer ceiling fan, bronze body + walnut blades (static mesh, optional rotation). Size: Ø1200 × H 400 mm; 1 instance(s); ceiling-hung / recessed. Materials: M_Bronze_Dark, M_Walnut.</t>
  </si>
  <si>
    <t xml:space="preserve">SM_FF_B1_21</t>
  </si>
  <si>
    <t xml:space="preserve">B1-22</t>
  </si>
  <si>
    <t xml:space="preserve">Motorised drapes with sheers</t>
  </si>
  <si>
    <t xml:space="preserve">Motorised drapes with sheers. Build: Curtain surface swept along the track with sine folds; sheer = translucent two-sided material. Size: 995 × 40 × H 2700 mm; 1 instance(s); wall-mounted, faces N. Materials: M_Fabric_Linen.</t>
  </si>
  <si>
    <t xml:space="preserve">SM_FF_CURTAIN_1000x40x2700</t>
  </si>
  <si>
    <t xml:space="preserve">SM_FF_B1_22</t>
  </si>
  <si>
    <t xml:space="preserve">B1-23</t>
  </si>
  <si>
    <t xml:space="preserve">SM_FF_B1_23</t>
  </si>
  <si>
    <t xml:space="preserve">B1-24</t>
  </si>
  <si>
    <t xml:space="preserve">Cushions and throw</t>
  </si>
  <si>
    <t xml:space="preserve">{"items": "cushion + throw"}</t>
  </si>
  <si>
    <t xml:space="preserve">Cushions and throw. Build: Cushions / throws / bed runner / towels / bath mat generated from the soft-furnishing kit onto the host. Size: 250 × 250 × H 150 mm; 1 instance(s); placed on its host surface. Materials: per family default.</t>
  </si>
  <si>
    <t xml:space="preserve">SM_FF_B1_24</t>
  </si>
  <si>
    <t xml:space="preserve">BW-01</t>
  </si>
  <si>
    <t xml:space="preserve">L-shaped walnut wardrobe (600 deep) with hanging, drawers and shoe shelves</t>
  </si>
  <si>
    <t xml:space="preserve">{"depth": 600, "door_w": 450, "upper_glass": "bronze-tinted", "handles": "leather-wrapped", "interior": "hanging+drawers+shelves", "led": "auto-on", "plan": "L-shape"}</t>
  </si>
  <si>
    <t xml:space="preserve">L-shaped walnut wardrobe (600 deep) with hanging, drawers and shoe shelves. Build: Full-height wardrobe run split into door modules (≈450 mm); bronze-tinted glass upper doors, solid walnut lower doors, leather-wrapped bar handles; interior generated (rails, drawer stack, shelves) for open-door shots. Size: 2035 × 600 × H 2700 mm; 2 instance(s); floor-standing. Materials: M_Walnut.</t>
  </si>
  <si>
    <t xml:space="preserve">SM_FF_WARDROBE_2040x600x2700</t>
  </si>
  <si>
    <t xml:space="preserve">SM_FF_BW_01</t>
  </si>
  <si>
    <t xml:space="preserve">BW-02</t>
  </si>
  <si>
    <t xml:space="preserve">Bronze-tinted glass upper doors</t>
  </si>
  <si>
    <t xml:space="preserve">{"insert": "glass"}</t>
  </si>
  <si>
    <t xml:space="preserve">Bronze-tinted glass upper doors. Build: Parametric insert built into its host joinery (wardrobe / drawer bank / shelf unit): drawers, glass-top trays, pull-outs, hamper, display shelves, handles or door type — sized from the host module. Size: 250 × 250 × H 0 mm; 1 instance(s); placed on its host surface. Materials: M_Bronze_Dark, M_Glass_LowIron.</t>
  </si>
  <si>
    <t xml:space="preserve">SM_FF_BW_02</t>
  </si>
  <si>
    <t xml:space="preserve">BW-03</t>
  </si>
  <si>
    <t xml:space="preserve">Glass-top accessory drawers</t>
  </si>
  <si>
    <t xml:space="preserve">Glass-top accessory drawers. Build: Parametric insert built into its host joinery (wardrobe / drawer bank / shelf unit): drawers, glass-top trays, pull-outs, hamper, display shelves, handles or door type — sized from the host module. Size: 250 × 250 × H 0 mm; 1 instance(s); placed on its host surface. Materials: M_Glass_LowIron.</t>
  </si>
  <si>
    <t xml:space="preserve">SM_FF_BW_03</t>
  </si>
  <si>
    <t xml:space="preserve">BW-04</t>
  </si>
  <si>
    <t xml:space="preserve">Pull-out mirror</t>
  </si>
  <si>
    <t xml:space="preserve">{"insert": "mirror"}</t>
  </si>
  <si>
    <t xml:space="preserve">Pull-out mirror. Build: Parametric insert built into its host joinery (wardrobe / drawer bank / shelf unit): drawers, glass-top trays, pull-outs, hamper, display shelves, handles or door type — sized from the host module. Size: 250 × 250 × H 0 mm; 1 instance(s); placed on its host surface. Materials: per family default.</t>
  </si>
  <si>
    <t xml:space="preserve">SM_FF_BW_04</t>
  </si>
  <si>
    <t xml:space="preserve">BW-05</t>
  </si>
  <si>
    <t xml:space="preserve">SM_FF_BW_05</t>
  </si>
  <si>
    <t xml:space="preserve">BW-06</t>
  </si>
  <si>
    <t xml:space="preserve">Brass hooks</t>
  </si>
  <si>
    <t xml:space="preserve">{"type": "hooks", "scatter_on": "host top"}</t>
  </si>
  <si>
    <t xml:space="preserve">Brass hooks. Build: Small décor generated from the accessory kit (vase, tray, books, bowl, candles, diffuser, towels…) and dropped onto the host surface at the marked point. Size: 250 × 250 × H 150 mm; 1 instance(s); placed on its host surface. Materials: M_Brass_Brushed.</t>
  </si>
  <si>
    <t xml:space="preserve">SM_FF_BW_06</t>
  </si>
  <si>
    <t xml:space="preserve">BW-07</t>
  </si>
  <si>
    <t xml:space="preserve">Bag display</t>
  </si>
  <si>
    <t xml:space="preserve">Bag display. Build: Parametric insert built into its host joinery (wardrobe / drawer bank / shelf unit): drawers, glass-top trays, pull-outs, hamper, display shelves, handles or door type — sized from the host module. Size: 250 × 250 × H 0 mm; 1 instance(s); placed on its host surface. Materials: per family default.</t>
  </si>
  <si>
    <t xml:space="preserve">SM_FF_BW_07</t>
  </si>
  <si>
    <t xml:space="preserve">BW-08</t>
  </si>
  <si>
    <t xml:space="preserve">Limited-edition print. Build: Framed artwork: walnut frame, canvas plane with image texture slot; wall stand-off 2 mm. Size: 400 × 40 × H 500 mm; 1 instance(s); wall-mounted, faces N. Materials: per family default.</t>
  </si>
  <si>
    <t xml:space="preserve">SM_FF_ART_FRAME_400x40x500</t>
  </si>
  <si>
    <t xml:space="preserve">SM_FF_BW_08</t>
  </si>
  <si>
    <t xml:space="preserve">BW-09</t>
  </si>
  <si>
    <t xml:space="preserve">Walnut veneer. Build: Applies a wall material (paint / plaster / tile / cladding) to all wall faces of the room. Size: room 2080 × 1713 × H 0 mm; 1 instance(s); applied to the whole room. Materials: M_Walnut.</t>
  </si>
  <si>
    <t xml:space="preserve">SM_FF_BW_FINISH_WALL</t>
  </si>
  <si>
    <t xml:space="preserve">SM_FF_BW_09</t>
  </si>
  <si>
    <t xml:space="preserve">BW-10</t>
  </si>
  <si>
    <t xml:space="preserve">SM_FF_BW_10</t>
  </si>
  <si>
    <t xml:space="preserve">BW-11</t>
  </si>
  <si>
    <t xml:space="preserve">Oak floor</t>
  </si>
  <si>
    <t xml:space="preserve">{"pattern": "oak plank", "grout": 2}</t>
  </si>
  <si>
    <t xml:space="preserve">M_Oak_Light</t>
  </si>
  <si>
    <t xml:space="preserve">Oak floor. Build: Room-polygon floor finish (herringbone / large-format stone / deck boards) with pattern-aware UVs. Size: room 2080 × 1713 × H 15 mm; 1 instance(s); applied to the whole room. Materials: M_Oak_Light.</t>
  </si>
  <si>
    <t xml:space="preserve">SM_FF_BW_FINISH_FLOOR</t>
  </si>
  <si>
    <t xml:space="preserve">SM_FF_BW_11</t>
  </si>
  <si>
    <t xml:space="preserve">BW-12</t>
  </si>
  <si>
    <t xml:space="preserve">Shelf LEDs</t>
  </si>
  <si>
    <t xml:space="preserve">Shelf LEDs. Build: Concealed LED strip along the given line (rect light, emissive strip). Size: 1900 × 40 × H 10 mm; 1 instance(s); placed on its host surface. Materials: per family default.</t>
  </si>
  <si>
    <t xml:space="preserve">SM_FF_LIGHT_LED_STRIP_1900x40x10</t>
  </si>
  <si>
    <t xml:space="preserve">SM_FF_BW_12</t>
  </si>
  <si>
    <t xml:space="preserve">BW-13</t>
  </si>
  <si>
    <t xml:space="preserve">Linear ceiling light</t>
  </si>
  <si>
    <t xml:space="preserve">Linear ceiling light. Build: Recessed linear LED profile (rect light in UE). Size: 1300 × 40 × H 40 mm; 1 instance(s); ceiling-hung / recessed. Materials: M_Brass_Brushed.</t>
  </si>
  <si>
    <t xml:space="preserve">SM_FF_LIGHT_LINEAR_1300x40x40</t>
  </si>
  <si>
    <t xml:space="preserve">SM_FF_BW_13</t>
  </si>
  <si>
    <t xml:space="preserve">BW-14</t>
  </si>
  <si>
    <t xml:space="preserve">Wool runner</t>
  </si>
  <si>
    <t xml:space="preserve">Wool runner. Build: Rug slab with bevelled edge; shag variant uses displaced grid; hand-knotted pattern texture slot. Size: 1250 × 700 × H 12 mm; 1 instance(s); floor-standing. Materials: M_Wool_Rug.</t>
  </si>
  <si>
    <t xml:space="preserve">SM_FF_RUG_1250x700x12</t>
  </si>
  <si>
    <t xml:space="preserve">SM_FF_BW_14</t>
  </si>
  <si>
    <t xml:space="preserve">BT-01</t>
  </si>
  <si>
    <t xml:space="preserve">Walnut vanity 900 with Viola top</t>
  </si>
  <si>
    <t xml:space="preserve">{"depth": 550, "basins": 1, "top": "Calacatta Viola 30", "carcass": "walnut", "wall_hung": true}</t>
  </si>
  <si>
    <t xml:space="preserve">Walnut vanity 900 with Viola top. Build: Wall-hung walnut vanity, 30 mm Calacatta Viola top with eased edge, undermount/vessel basin(s), brass PVD tap per basin. Size: 900 × 505 × H 850 mm; 1 instance(s); wall-mounted, faces —. Materials: M_Walnut, M_Marble_CalacattaViola.</t>
  </si>
  <si>
    <t xml:space="preserve">SM_FF_VANITY_900x500x850</t>
  </si>
  <si>
    <t xml:space="preserve">SM_FF_BT_01</t>
  </si>
  <si>
    <t xml:space="preserve">BT-02</t>
  </si>
  <si>
    <t xml:space="preserve">Concealed-cistern WC</t>
  </si>
  <si>
    <t xml:space="preserve">M_Resin_StoneWhite, M_Brass_Brushed</t>
  </si>
  <si>
    <t xml:space="preserve">Concealed-cistern WC. Build: Wall-hung pan (generated from rounded profile), concealed cistern frame in a 150 mm ledge, brushed-brass flush plate. Size: 495 × 380 × H 400 mm; 1 instance(s); wall-mounted, faces —. Materials: M_Resin_StoneWhite, M_Brass_Brushed.</t>
  </si>
  <si>
    <t xml:space="preserve">SM_FF_BT_02</t>
  </si>
  <si>
    <t xml:space="preserve">BT-03</t>
  </si>
  <si>
    <t xml:space="preserve">Shower 900×1000 with frameless glass</t>
  </si>
  <si>
    <t xml:space="preserve">Shower 900×1000 with frameless glass. Build: Walk-in shower zone: flush floor with linear drain, frameless low-iron glass panel(s) with brass clamps, ceiling rain head + handheld set. Size: 955 × 855 × H 2100 mm; 1 instance(s); floor-standing. Materials: M_Glass_LowIron, M_Microcement_Grey, M_Brass_Brushed.</t>
  </si>
  <si>
    <t xml:space="preserve">SM_FF_SHOWER_ENCLOSURE_960x860x2100</t>
  </si>
  <si>
    <t xml:space="preserve">SM_FF_BT_03</t>
  </si>
  <si>
    <t xml:space="preserve">BT-04</t>
  </si>
  <si>
    <t xml:space="preserve">Recessed niche</t>
  </si>
  <si>
    <t xml:space="preserve">{"depth": 100, "type": "shower niche"}</t>
  </si>
  <si>
    <t xml:space="preserve">Recessed niche. Build: Wall recess (niche / mirror cabinet / towel shelf) cut as a Boolean into the host wall, lined with the listed material, LED strip optional. Size: 300 × 40 × H 400 mm; 1 instance(s); wall-mounted, faces E. Materials: per family default.</t>
  </si>
  <si>
    <t xml:space="preserve">SM_FF_BT_04</t>
  </si>
  <si>
    <t xml:space="preserve">BT-05</t>
  </si>
  <si>
    <t xml:space="preserve">Towel shelf. Build: Wall recess (niche / mirror cabinet / towel shelf) cut as a Boolean into the host wall, lined with the listed material, LED strip optional. Size: 380 × 40 × H 300 mm; 1 instance(s); wall-mounted, faces W. Materials: per family default.</t>
  </si>
  <si>
    <t xml:space="preserve">SM_FF_BT_05</t>
  </si>
  <si>
    <t xml:space="preserve">BT-06</t>
  </si>
  <si>
    <t xml:space="preserve">Organic mirror</t>
  </si>
  <si>
    <t xml:space="preserve">Organic mirror. Build: Mirror plane with brass/bronze frame; shape: round / oval / organic spline / full-length. Size: 800 × 40 × H 900 mm; 1 instance(s); wall-mounted, faces W. Materials: per family default.</t>
  </si>
  <si>
    <t xml:space="preserve">SM_FF_MIRROR_800x40x900</t>
  </si>
  <si>
    <t xml:space="preserve">SM_FF_BT_06</t>
  </si>
  <si>
    <t xml:space="preserve">BT-07</t>
  </si>
  <si>
    <t xml:space="preserve">Brass accessory set</t>
  </si>
  <si>
    <t xml:space="preserve">{"type": "brass accessory set", "scatter_on": "host top"}</t>
  </si>
  <si>
    <t xml:space="preserve">Brass accessory set. Build: Small décor generated from the accessory kit (vase, tray, books, bowl, candles, diffuser, towels…) and dropped onto the host surface at the marked point. Size: 250 × 250 × H 150 mm; 1 instance(s); placed on its host surface. Materials: M_Brass_Brushed.</t>
  </si>
  <si>
    <t xml:space="preserve">SM_FF_BT_07</t>
  </si>
  <si>
    <t xml:space="preserve">BT-08</t>
  </si>
  <si>
    <t xml:space="preserve">Trailing plant</t>
  </si>
  <si>
    <t xml:space="preserve">Trailing plant. Build: Potted plant from leaf-card kit. Size: Ø250 × H 600 mm; 1 instance(s); floor-standing. Materials: M_Foliage_Olive.</t>
  </si>
  <si>
    <t xml:space="preserve">SM_FF_PLANT_SMALL_250x250x600</t>
  </si>
  <si>
    <t xml:space="preserve">SM_FF_BT_08</t>
  </si>
  <si>
    <t xml:space="preserve">BT-09</t>
  </si>
  <si>
    <t xml:space="preserve">Fluted tile</t>
  </si>
  <si>
    <t xml:space="preserve">{"apply_to": "all walls", "material": "fluted tile"}</t>
  </si>
  <si>
    <t xml:space="preserve">Fluted tile. Build: Applies a wall material (paint / plaster / tile / cladding) to all wall faces of the room. Size: room 2402 × 2005 × H 0 mm; 1 instance(s); applied to the whole room. Materials: M_Tile_FlutedWhite.</t>
  </si>
  <si>
    <t xml:space="preserve">SM_FF_BT_FINISH_WALL</t>
  </si>
  <si>
    <t xml:space="preserve">SM_FF_BT_09</t>
  </si>
  <si>
    <t xml:space="preserve">BT-10</t>
  </si>
  <si>
    <t xml:space="preserve">{"depth": 100, "type": "Viola niche lining"}</t>
  </si>
  <si>
    <t xml:space="preserve">Viola marble niche. Build: Wall recess (niche / mirror cabinet / towel shelf) cut as a Boolean into the host wall, lined with the listed material, LED strip optional. Size: 200 × 40 × H 400 mm; 1 instance(s); wall-mounted, faces E. Materials: M_Marble_CalacattaViola.</t>
  </si>
  <si>
    <t xml:space="preserve">SM_FF_RECESSED_200x40x400</t>
  </si>
  <si>
    <t xml:space="preserve">SM_FF_BT_10</t>
  </si>
  <si>
    <t xml:space="preserve">BT-11</t>
  </si>
  <si>
    <t xml:space="preserve">Microcement floor</t>
  </si>
  <si>
    <t xml:space="preserve">{"pattern": "microcement", "grout": 2}</t>
  </si>
  <si>
    <t xml:space="preserve">Microcement floor. Build: Room-polygon floor finish (herringbone / large-format stone / deck boards) with pattern-aware UVs. Size: room 2402 × 2005 × H 15 mm; 1 instance(s); applied to the whole room. Materials: M_Microcement_Grey.</t>
  </si>
  <si>
    <t xml:space="preserve">SM_FF_BT_FINISH_FLOOR</t>
  </si>
  <si>
    <t xml:space="preserve">SM_FF_BT_11</t>
  </si>
  <si>
    <t xml:space="preserve">BT-12</t>
  </si>
  <si>
    <t xml:space="preserve">Brushed-brass PVD shower set and taps</t>
  </si>
  <si>
    <t xml:space="preserve">Brushed-brass PVD shower set and taps. Build: Small décor generated from the accessory kit (vase, tray, books, bowl, candles, diffuser, towels…) and dropped onto the host surface at the marked point. Size: 250 × 250 × H 150 mm; 1 instance(s); placed on its host surface. Materials: M_Brass_Brushed.</t>
  </si>
  <si>
    <t xml:space="preserve">SM_FF_BT_12</t>
  </si>
  <si>
    <t xml:space="preserve">BT-13</t>
  </si>
  <si>
    <t xml:space="preserve">Globe sconce</t>
  </si>
  <si>
    <t xml:space="preserve">Globe sconce. Build: Wall sconce with back plate, emissive diffuser + UE light. Size: Ø180 × H 200 mm; 1 instance(s); wall-mounted, faces —. Materials: per family default.</t>
  </si>
  <si>
    <t xml:space="preserve">SM_FF_BT_13</t>
  </si>
  <si>
    <t xml:space="preserve">BT-14</t>
  </si>
  <si>
    <t xml:space="preserve">Mirror backlight. Build: Concealed LED strip along the given line (rect light, emissive strip). Size: 800 × 40 × H 10 mm; 1 instance(s); placed on its host surface. Materials: per family default.</t>
  </si>
  <si>
    <t xml:space="preserve">SM_FF_LIGHT_LED_STRIP_800x40x10</t>
  </si>
  <si>
    <t xml:space="preserve">SM_FF_BT_14</t>
  </si>
  <si>
    <t xml:space="preserve">BT-15</t>
  </si>
  <si>
    <t xml:space="preserve">Brass heated towel rail (added)</t>
  </si>
  <si>
    <t xml:space="preserve">{"type": "heated towel rail", "scatter_on": "host top"}</t>
  </si>
  <si>
    <t xml:space="preserve">Brass heated towel rail (added). Build: Small décor generated from the accessory kit (vase, tray, books, bowl, candles, diffuser, towels…) and dropped onto the host surface at the marked point. Size: 500 × 40 × H 900 mm; 1 instance(s); placed on its host surface. Materials: M_Brass_Brushed.</t>
  </si>
  <si>
    <t xml:space="preserve">SM_FF_ACCESSORY_500x40x900</t>
  </si>
  <si>
    <t xml:space="preserve">SM_FF_BT_15</t>
  </si>
  <si>
    <t xml:space="preserve">BT-16</t>
  </si>
  <si>
    <t xml:space="preserve">Egyptian-cotton towels</t>
  </si>
  <si>
    <t xml:space="preserve">Egyptian-cotton towels. Build: Cushions / throws / bed runner / towels / bath mat generated from the soft-furnishing kit onto the host. Size: 250 × 250 × H 150 mm; 1 instance(s); placed on its host surface. Materials: per family default.</t>
  </si>
  <si>
    <t xml:space="preserve">SM_FF_BT_16</t>
  </si>
  <si>
    <t xml:space="preserve">BT-17</t>
  </si>
  <si>
    <t xml:space="preserve">Plush bath mat. Build: Rug slab with bevelled edge; shag variant uses displaced grid; hand-knotted pattern texture slot. Size: 600 × 400 × H 12 mm; 1 instance(s); floor-standing. Materials: M_Wool_Rug.</t>
  </si>
  <si>
    <t xml:space="preserve">SM_FF_RUG_600x400x12</t>
  </si>
  <si>
    <t xml:space="preserve">SM_FF_BT_17</t>
  </si>
  <si>
    <t xml:space="preserve">B2-01</t>
  </si>
  <si>
    <t xml:space="preserve">Queen bed 1524×1981 with greige velvet upholstered headboard and bronze trim</t>
  </si>
  <si>
    <t xml:space="preserve">M_Velvet_Cream, M_Velvet_Greige, M_Bronze_Dark</t>
  </si>
  <si>
    <t xml:space="preserve">Queen bed 1524×1981 with greige velvet upholstered headboard and bronze trim. Build: Upholstered platform base on a recessed plinth; mattress block with 40 mm rounded edges; duvet/bed-runner layer draped 120 mm over the sides; 2–4 pillows generated from PILLOW sub-family. Headboard wall is a separate finish family. Size: 1981 × 1524 × H 450 mm; 1 instance(s); floor-standing. Materials: M_Velvet_Cream, M_Velvet_Greige, M_Bronze_Dark.</t>
  </si>
  <si>
    <t xml:space="preserve">SM_FF_BED_PLATFORM_1980x1520x450</t>
  </si>
  <si>
    <t xml:space="preserve">SM_FF_B2_01</t>
  </si>
  <si>
    <t xml:space="preserve">B2-02</t>
  </si>
  <si>
    <t xml:space="preserve">Oak side tables ×2 on brass legs</t>
  </si>
  <si>
    <t xml:space="preserve">{"top_t": 25, "carcass": "box", "drawer_count": 1, "leg": "brass", "top_material": "oak"}</t>
  </si>
  <si>
    <t xml:space="preserve">M_Oak_Light, M_Brass_Brushed</t>
  </si>
  <si>
    <t xml:space="preserve">Oak side tables ×2 on brass legs. Build: Box carcass with one drawer (3 mm shadow gap), separate stone/wood top slab with 3 mm edge bevel; optional brass legs (Ø16 tapered) when leg=brass. Size: 450 × 450 × H 550 mm; 2 instance(s); floor-standing. Materials: M_Oak_Light, M_Brass_Brushed.</t>
  </si>
  <si>
    <t xml:space="preserve">SM_FF_B2_02</t>
  </si>
  <si>
    <t xml:space="preserve">B2-03</t>
  </si>
  <si>
    <t xml:space="preserve">Oak-veneer wardrobe with bronze handles (as drawn) and tall shelf unit</t>
  </si>
  <si>
    <t xml:space="preserve">{"depth": 600, "door_w": 450, "upper_glass": "bronze-tinted", "handles": "leather-wrapped", "interior": "hanging+drawers+shelves", "led": "auto-on", "note": "+ tall shelf unit (2nd instance)"}</t>
  </si>
  <si>
    <t xml:space="preserve">M_Oak_Light, M_Bronze_Dark</t>
  </si>
  <si>
    <t xml:space="preserve">Oak-veneer wardrobe with bronze handles (as drawn) and tall shelf unit. Build: Full-height wardrobe run split into door modules (≈450 mm); bronze-tinted glass upper doors, solid walnut lower doors, leather-wrapped bar handles; interior generated (rails, drawer stack, shelves) for open-door shots. Size: 2800 × 600 × H 2700 mm; 2 instance(s); floor-standing. Materials: M_Oak_Light, M_Bronze_Dark.</t>
  </si>
  <si>
    <t xml:space="preserve">SM_FF_WARDROBE_2800x600x2700</t>
  </si>
  <si>
    <t xml:space="preserve">SM_FF_B2_03</t>
  </si>
  <si>
    <t xml:space="preserve">B2-04</t>
  </si>
  <si>
    <t xml:space="preserve">Leather-top oak writing desk with bouclé chair</t>
  </si>
  <si>
    <t xml:space="preserve">M_Oak_Light, M_Boucle_Grey, M_Leather_Cognac</t>
  </si>
  <si>
    <t xml:space="preserve">Leather-top oak writing desk with bouclé chair. Build: Writing desk: walnut/oak carcass, leather inset top (10 mm border), one pencil drawer, brass shoes on panel legs. Size: 1100 × 500 × H 750 mm; 1 instance(s); floor-standing. Materials: M_Oak_Light, M_Boucle_Grey, M_Leather_Cognac. Fit note: with bouclé chair (circle).</t>
  </si>
  <si>
    <t xml:space="preserve">SM_FF_DESK_1100x500x750</t>
  </si>
  <si>
    <t xml:space="preserve">SM_FF_B2_04</t>
  </si>
  <si>
    <t xml:space="preserve">with bouclé chair (circle)</t>
  </si>
  <si>
    <t xml:space="preserve">B2-05</t>
  </si>
  <si>
    <t xml:space="preserve">Olive bouclé lounge chair by the balcony door</t>
  </si>
  <si>
    <t xml:space="preserve">M_Boucle_Olive, M_Boucle_Grey, M_Foliage_Olive</t>
  </si>
  <si>
    <t xml:space="preserve">Olive bouclé lounge chair by the balcony door. Build: Club/lounge chair: sculpted shell or box body with rounded arms, loose seat cushion, 4 tapered bronze legs fitted into a sub-frame plate (no gaps). Size: Ø750 × H 800 mm; 1 instance(s); floor-standing. Materials: M_Boucle_Olive, M_Boucle_Grey, M_Foliage_Olive.</t>
  </si>
  <si>
    <t xml:space="preserve">SM_FF_CHAIR_LOUNGE_750x750x800</t>
  </si>
  <si>
    <t xml:space="preserve">SM_FF_B2_05</t>
  </si>
  <si>
    <t xml:space="preserve">B2-06</t>
  </si>
  <si>
    <t xml:space="preserve">Velvet bench at the bed foot. Build: Upholstered seat block with piping on top edges, crowned top (+8 mm), on bronze sled legs (25×10 flat bar). Size: 1200 × 400 × H 450 mm; 1 instance(s); floor-standing. Materials: M_Velvet_Cream.</t>
  </si>
  <si>
    <t xml:space="preserve">SM_FF_BENCH_UPHOLSTERED_1200x400x450</t>
  </si>
  <si>
    <t xml:space="preserve">SM_FF_B2_06</t>
  </si>
  <si>
    <t xml:space="preserve">B2-07</t>
  </si>
  <si>
    <t xml:space="preserve">Floating shelf</t>
  </si>
  <si>
    <t xml:space="preserve">{"depth": 100, "type": "floating shelf (surface-mounted)"}</t>
  </si>
  <si>
    <t xml:space="preserve">Floating shelf. Build: Wall recess (niche / mirror cabinet / towel shelf) cut as a Boolean into the host wall, lined with the listed material, LED strip optional. Size: 800 × 40 × H 40 mm; 1 instance(s); wall-mounted, faces E. Materials: per family default.</t>
  </si>
  <si>
    <t xml:space="preserve">SM_FF_RECESSED_800x40x40</t>
  </si>
  <si>
    <t xml:space="preserve">SM_FF_B2_07</t>
  </si>
  <si>
    <t xml:space="preserve">B2-08</t>
  </si>
  <si>
    <t xml:space="preserve">Print set above the bed</t>
  </si>
  <si>
    <t xml:space="preserve">Print set above the bed. Build: Framed artwork: walnut frame, canvas plane with image texture slot; wall stand-off 2 mm. Size: 1400 × 40 × H 500 mm; 3 instance(s); wall-mounted, faces N. Materials: per family default.</t>
  </si>
  <si>
    <t xml:space="preserve">SM_FF_ART_FRAME_1400x40x500</t>
  </si>
  <si>
    <t xml:space="preserve">SM_FF_B2_08</t>
  </si>
  <si>
    <t xml:space="preserve">B2-09</t>
  </si>
  <si>
    <t xml:space="preserve">Brass desk lamp and leather desk set</t>
  </si>
  <si>
    <t xml:space="preserve">{"type": "lamp + desk set", "scatter_on": "host top"}</t>
  </si>
  <si>
    <t xml:space="preserve">M_Brass_Brushed, M_Leather_Cognac</t>
  </si>
  <si>
    <t xml:space="preserve">Brass desk lamp and leather desk set. Build: Small décor generated from the accessory kit (vase, tray, books, bowl, candles, diffuser, towels…) and dropped onto the host surface at the marked point. Size: 250 × 250 × H 150 mm; 1 instance(s); placed on its host surface. Materials: M_Brass_Brushed, M_Leather_Cognac.</t>
  </si>
  <si>
    <t xml:space="preserve">SM_FF_B2_09</t>
  </si>
  <si>
    <t xml:space="preserve">B2-10</t>
  </si>
  <si>
    <t xml:space="preserve">Plants and books</t>
  </si>
  <si>
    <t xml:space="preserve">{"type": "books + plants", "scatter_on": "host top"}</t>
  </si>
  <si>
    <t xml:space="preserve">Plants and books. Build: Small décor generated from the accessory kit (vase, tray, books, bowl, candles, diffuser, towels…) and dropped onto the host surface at the marked point. Size: 250 × 250 × H 150 mm; 1 instance(s); placed on its host surface. Materials: M_Foliage_Olive.</t>
  </si>
  <si>
    <t xml:space="preserve">SM_FF_B2_10</t>
  </si>
  <si>
    <t xml:space="preserve">B2-11</t>
  </si>
  <si>
    <t xml:space="preserve">SM_FF_B2_11</t>
  </si>
  <si>
    <t xml:space="preserve">B2-12</t>
  </si>
  <si>
    <t xml:space="preserve">Light-oak and greige variant with olive accents</t>
  </si>
  <si>
    <t xml:space="preserve">{"apply_to": "all walls", "material": "light-oak / greige palette"}</t>
  </si>
  <si>
    <t xml:space="preserve">M_Oak_Light, M_Velvet_Greige, M_Foliage_Olive</t>
  </si>
  <si>
    <t xml:space="preserve">Light-oak and greige variant with olive accents. Build: Applies a wall material (paint / plaster / tile / cladding) to all wall faces of the room. Size: room 3886 × 3733 × H 0 mm; 1 instance(s); applied to the whole room. Materials: M_Oak_Light, M_Velvet_Greige, M_Foliage_Olive.</t>
  </si>
  <si>
    <t xml:space="preserve">SM_FF_B2_FINISH_WALL</t>
  </si>
  <si>
    <t xml:space="preserve">SM_FF_B2_12</t>
  </si>
  <si>
    <t xml:space="preserve">B2-13</t>
  </si>
  <si>
    <t xml:space="preserve">Greige upholstered headboard wall</t>
  </si>
  <si>
    <t xml:space="preserve">{"type": "greige velvet upholstered + bronze trim", "module": 60, "depth": 40}</t>
  </si>
  <si>
    <t xml:space="preserve">M_Velvet_Greige</t>
  </si>
  <si>
    <t xml:space="preserve">Greige upholstered headboard wall. Build: Feature wall panel: walnut slats (module 60 / gap 15), fluted walnut, upholstered fabric panels or marble slabs with bronze trims. Size: 2600 × 100 × H 2700 mm; 1 instance(s); wall-mounted, faces N. Materials: M_Velvet_Greige.</t>
  </si>
  <si>
    <t xml:space="preserve">SM_FF_WALL_FEATURE_PANEL_2600x100x2700</t>
  </si>
  <si>
    <t xml:space="preserve">SM_FF_B2_13</t>
  </si>
  <si>
    <t xml:space="preserve">B2-14</t>
  </si>
  <si>
    <t xml:space="preserve">Oak slat accent behind the desk</t>
  </si>
  <si>
    <t xml:space="preserve">{"type": "light-oak slats", "module": 60, "depth": 40}</t>
  </si>
  <si>
    <t xml:space="preserve">Oak slat accent behind the desk. Build: Feature wall panel: walnut slats (module 60 / gap 15), fluted walnut, upholstered fabric panels or marble slabs with bronze trims. Size: 1200 × 40 × H 2700 mm; 1 instance(s); wall-mounted, faces E. Materials: M_Oak_Light.</t>
  </si>
  <si>
    <t xml:space="preserve">SM_FF_WALL_FEATURE_PANEL_1200x40x2700</t>
  </si>
  <si>
    <t xml:space="preserve">SM_FF_B2_14</t>
  </si>
  <si>
    <t xml:space="preserve">B2-15</t>
  </si>
  <si>
    <t xml:space="preserve">Bronze trims</t>
  </si>
  <si>
    <t xml:space="preserve">{"width": 20, "material": "bronze trims (headboard / joinery)"}</t>
  </si>
  <si>
    <t xml:space="preserve">Bronze trims. Build: Metal/stone strip inlaid flush in the floor or nosing at an edge. Size: 250 × 250 × H 5 mm; 1 instance(s); floor-standing. Materials: M_Bronze_Dark.</t>
  </si>
  <si>
    <t xml:space="preserve">SM_FF_INLAY_STRIP_250x250x5</t>
  </si>
  <si>
    <t xml:space="preserve">SM_FF_B2_15</t>
  </si>
  <si>
    <t xml:space="preserve">B2-16</t>
  </si>
  <si>
    <t xml:space="preserve">Herringbone oak floor. Build: Room-polygon floor finish (herringbone / large-format stone / deck boards) with pattern-aware UVs. Size: room 3886 × 3733 × H 15 mm; 1 instance(s); applied to the whole room. Materials: M_Oak_Light, M_Oak_Herringbone.</t>
  </si>
  <si>
    <t xml:space="preserve">SM_FF_B2_FINISH_FLOOR</t>
  </si>
  <si>
    <t xml:space="preserve">SM_FF_B2_16</t>
  </si>
  <si>
    <t xml:space="preserve">B2-17</t>
  </si>
  <si>
    <t xml:space="preserve">Linear light</t>
  </si>
  <si>
    <t xml:space="preserve">Linear light. Build: Recessed linear LED profile (rect light in UE). Size: 2600 × 40 × H 40 mm; 1 instance(s); ceiling-hung / recessed. Materials: M_Brass_Brushed.</t>
  </si>
  <si>
    <t xml:space="preserve">SM_FF_LIGHT_LINEAR_2600x40x40</t>
  </si>
  <si>
    <t xml:space="preserve">SM_FF_B2_17</t>
  </si>
  <si>
    <t xml:space="preserve">B2-18</t>
  </si>
  <si>
    <t xml:space="preserve">Brass bedside wall sconces ×2 (replace table lamps)</t>
  </si>
  <si>
    <t xml:space="preserve">{"style": "brass bedside", "centre_h": 1600}</t>
  </si>
  <si>
    <t xml:space="preserve">Brass bedside wall sconces ×2 (replace table lamps). Build: Wall sconce with back plate, emissive diffuser + UE light. Size: Ø200 × H 200 mm; 2 instance(s); wall-mounted, faces —. Materials: M_Brass_Brushed.</t>
  </si>
  <si>
    <t xml:space="preserve">SM_FF_B2_18</t>
  </si>
  <si>
    <t xml:space="preserve">B2-19</t>
  </si>
  <si>
    <t xml:space="preserve">Designer ceiling fan. Build: Designer ceiling fan, bronze body + walnut blades (static mesh, optional rotation). Size: Ø1100 × H 400 mm; 1 instance(s); ceiling-hung / recessed. Materials: M_Bronze_Dark, M_Walnut.</t>
  </si>
  <si>
    <t xml:space="preserve">SM_FF_CEILING_FAN_1100x1100x400</t>
  </si>
  <si>
    <t xml:space="preserve">SM_FF_B2_19</t>
  </si>
  <si>
    <t xml:space="preserve">B2-20</t>
  </si>
  <si>
    <t xml:space="preserve">Motorised drapes with sheers. Build: Curtain surface swept along the track with sine folds; sheer = translucent two-sided material. Size: 1668 × 41 × H 2700 mm; 1 instance(s); wall-mounted, faces W. Materials: M_Fabric_Linen.</t>
  </si>
  <si>
    <t xml:space="preserve">SM_FF_CURTAIN_1670x40x2700</t>
  </si>
  <si>
    <t xml:space="preserve">SM_FF_B2_20</t>
  </si>
  <si>
    <t xml:space="preserve">B2-21</t>
  </si>
  <si>
    <t xml:space="preserve">Hand-knotted rug 2000×2400</t>
  </si>
  <si>
    <t xml:space="preserve">Hand-knotted rug 2000×2400. Build: Rug slab with bevelled edge; shag variant uses displaced grid; hand-knotted pattern texture slot. Size: 2400 × 2000 × H 12 mm; 1 instance(s); floor-standing. Materials: M_Wool_Rug.</t>
  </si>
  <si>
    <t xml:space="preserve">SM_FF_RUG_2400x2000x12</t>
  </si>
  <si>
    <t xml:space="preserve">SM_FF_B2_21</t>
  </si>
  <si>
    <t xml:space="preserve">B2-22</t>
  </si>
  <si>
    <t xml:space="preserve">SM_FF_B2_22</t>
  </si>
  <si>
    <t xml:space="preserve">B2T-01</t>
  </si>
  <si>
    <t xml:space="preserve">Walnut vanity 1200 with Viola top</t>
  </si>
  <si>
    <t xml:space="preserve">Walnut vanity 1200 with Viola top. Build: Wall-hung walnut vanity, 30 mm Calacatta Viola top with eased edge, undermount/vessel basin(s), brass PVD tap per basin. Size: 1155 × 505 × H 850 mm; 1 instance(s); wall-mounted, faces —. Materials: M_Walnut, M_Marble_CalacattaViola.</t>
  </si>
  <si>
    <t xml:space="preserve">SM_FF_VANITY_1160x500x850</t>
  </si>
  <si>
    <t xml:space="preserve">SM_FF_B2T_01</t>
  </si>
  <si>
    <t xml:space="preserve">B2T-02</t>
  </si>
  <si>
    <t xml:space="preserve">Concealed-cistern WC. Build: Wall-hung pan (generated from rounded profile), concealed cistern frame in a 150 mm ledge, brushed-brass flush plate. Size: 540 × 380 × H 400 mm; 1 instance(s); wall-mounted, faces —. Materials: M_Resin_StoneWhite, M_Brass_Brushed.</t>
  </si>
  <si>
    <t xml:space="preserve">SM_FF_WC_WALLHUNG_540x380x400</t>
  </si>
  <si>
    <t xml:space="preserve">SM_FF_B2T_02</t>
  </si>
  <si>
    <t xml:space="preserve">B2T-03</t>
  </si>
  <si>
    <t xml:space="preserve">Walk-in shower with frameless glass</t>
  </si>
  <si>
    <t xml:space="preserve">Walk-in shower with frameless glass. Build: Walk-in shower zone: flush floor with linear drain, frameless low-iron glass panel(s) with brass clamps, ceiling rain head + handheld set. Size: 1000 × 955 × H 2100 mm; 1 instance(s); floor-standing. Materials: M_Glass_LowIron, M_Microcement_Grey, M_Brass_Brushed.</t>
  </si>
  <si>
    <t xml:space="preserve">SM_FF_SHOWER_ENCLOSURE_1000x960x2100</t>
  </si>
  <si>
    <t xml:space="preserve">SM_FF_B2T_03</t>
  </si>
  <si>
    <t xml:space="preserve">B2T-04</t>
  </si>
  <si>
    <t xml:space="preserve">Freestanding stone-resin tub 1500×750 on the short wall</t>
  </si>
  <si>
    <t xml:space="preserve">BATHTUB_FREESTANDING</t>
  </si>
  <si>
    <t xml:space="preserve">gen_tub</t>
  </si>
  <si>
    <t xml:space="preserve">{"shape": "oval", "wall_t": 15, "material": "stone-resin"}</t>
  </si>
  <si>
    <t xml:space="preserve">M_Travertine, M_Resin_StoneWhite</t>
  </si>
  <si>
    <t xml:space="preserve">Freestanding stone-resin tub 1500×750 on the short wall. Build: Freestanding oval tub from a lofted profile, 15 mm walls, matte stone-resin. Size: 1500 × 750 × H 560 mm; 1 instance(s); floor-standing. Materials: M_Travertine, M_Resin_StoneWhite.</t>
  </si>
  <si>
    <t xml:space="preserve">SM_FF_BATHTUB_FREESTANDING_1500x750x560</t>
  </si>
  <si>
    <t xml:space="preserve">SM_FF_B2T_04</t>
  </si>
  <si>
    <t xml:space="preserve">B2T-05</t>
  </si>
  <si>
    <t xml:space="preserve">Linen tower cabinet 400</t>
  </si>
  <si>
    <t xml:space="preserve">{"depth": 400, "finish": "walnut", "doors": 1}</t>
  </si>
  <si>
    <t xml:space="preserve">Linen tower cabinet 400. Build: Tall bathroom cabinet with a single lacquered door, shadow-gap handle. Size: 400 × 400 × H 2100 mm; 1 instance(s); floor-standing. Materials: M_Fabric_Linen.</t>
  </si>
  <si>
    <t xml:space="preserve">SM_FF_TALL_CABINET_400x400x2100</t>
  </si>
  <si>
    <t xml:space="preserve">SM_FF_B2T_05</t>
  </si>
  <si>
    <t xml:space="preserve">B2T-06</t>
  </si>
  <si>
    <t xml:space="preserve">Recessed niche. Build: Wall recess (niche / mirror cabinet / towel shelf) cut as a Boolean into the host wall, lined with the listed material, LED strip optional. Size: 400 × 40 × H 400 mm; 1 instance(s); wall-mounted, faces S. Materials: per family default.</t>
  </si>
  <si>
    <t xml:space="preserve">SM_FF_RECESSED_400x40x400</t>
  </si>
  <si>
    <t xml:space="preserve">SM_FF_B2T_06</t>
  </si>
  <si>
    <t xml:space="preserve">B2T-07</t>
  </si>
  <si>
    <t xml:space="preserve">Organic mirror. Build: Mirror plane with brass/bronze frame; shape: round / oval / organic spline / full-length. Size: 1000 × 40 × H 900 mm; 1 instance(s); wall-mounted, faces W. Materials: per family default.</t>
  </si>
  <si>
    <t xml:space="preserve">SM_FF_MIRROR_1000x40x900</t>
  </si>
  <si>
    <t xml:space="preserve">SM_FF_B2T_07</t>
  </si>
  <si>
    <t xml:space="preserve">B2T-08</t>
  </si>
  <si>
    <t xml:space="preserve">Viola niche</t>
  </si>
  <si>
    <t xml:space="preserve">Viola niche. Build: Wall recess (niche / mirror cabinet / towel shelf) cut as a Boolean into the host wall, lined with the listed material, LED strip optional. Size: 400 × 40 × H 400 mm; 1 instance(s); wall-mounted, faces S. Materials: M_Marble_CalacattaViola.</t>
  </si>
  <si>
    <t xml:space="preserve">SM_FF_B2T_08</t>
  </si>
  <si>
    <t xml:space="preserve">B2T-09</t>
  </si>
  <si>
    <t xml:space="preserve">SM_FF_B2T_09</t>
  </si>
  <si>
    <t xml:space="preserve">B2T-10</t>
  </si>
  <si>
    <t xml:space="preserve">Candle tray by the tub</t>
  </si>
  <si>
    <t xml:space="preserve">M_Resin_StoneWhite</t>
  </si>
  <si>
    <t xml:space="preserve">Candle tray by the tub. Build: Small décor generated from the accessory kit (vase, tray, books, bowl, candles, diffuser, towels…) and dropped onto the host surface at the marked point. Size: 250 × 250 × H 150 mm; 1 instance(s); placed on its host surface. Materials: M_Resin_StoneWhite.</t>
  </si>
  <si>
    <t xml:space="preserve">SM_FF_B2T_10</t>
  </si>
  <si>
    <t xml:space="preserve">B2T-11</t>
  </si>
  <si>
    <t xml:space="preserve">SM_FF_B2T_11</t>
  </si>
  <si>
    <t xml:space="preserve">B2T-12</t>
  </si>
  <si>
    <t xml:space="preserve">SM_FF_B2T_12</t>
  </si>
  <si>
    <t xml:space="preserve">B2T-13</t>
  </si>
  <si>
    <t xml:space="preserve">White fluted tile. Build: Applies a wall material (paint / plaster / tile / cladding) to all wall faces of the room. Size: room 3320 × 1989 × H 0 mm; 1 instance(s); applied to the whole room. Materials: M_Tile_FlutedWhite.</t>
  </si>
  <si>
    <t xml:space="preserve">SM_FF_B2T_FINISH_WALL</t>
  </si>
  <si>
    <t xml:space="preserve">SM_FF_B2T_13</t>
  </si>
  <si>
    <t xml:space="preserve">B2T-14</t>
  </si>
  <si>
    <t xml:space="preserve">Viola marble feature wall behind the tub</t>
  </si>
  <si>
    <t xml:space="preserve">M_Marble_CalacattaViola, M_Resin_StoneWhite</t>
  </si>
  <si>
    <t xml:space="preserve">Viola marble feature wall behind the tub. Build: Feature wall panel: walnut slats (module 60 / gap 15), fluted walnut, upholstered fabric panels or marble slabs with bronze trims. Size: 1740 × 40 × H 2700 mm; 1 instance(s); wall-mounted, faces E. Materials: M_Marble_CalacattaViola, M_Resin_StoneWhite.</t>
  </si>
  <si>
    <t xml:space="preserve">SM_FF_WALL_FEATURE_PANEL_1740x40x2700</t>
  </si>
  <si>
    <t xml:space="preserve">SM_FF_B2T_14</t>
  </si>
  <si>
    <t xml:space="preserve">B2T-15</t>
  </si>
  <si>
    <t xml:space="preserve">Grey microcement floor</t>
  </si>
  <si>
    <t xml:space="preserve">Grey microcement floor. Build: Room-polygon floor finish (herringbone / large-format stone / deck boards) with pattern-aware UVs. Size: room 3320 × 1989 × H 15 mm; 1 instance(s); applied to the whole room. Materials: M_Microcement_Grey.</t>
  </si>
  <si>
    <t xml:space="preserve">SM_FF_B2T_FINISH_FLOOR</t>
  </si>
  <si>
    <t xml:space="preserve">SM_FF_B2T_15</t>
  </si>
  <si>
    <t xml:space="preserve">B2T-16</t>
  </si>
  <si>
    <t xml:space="preserve">Brushed-brass PVD floor-standing tub filler and fittings</t>
  </si>
  <si>
    <t xml:space="preserve">{"type": "floor-standing brass tub filler", "scatter_on": "host top"}</t>
  </si>
  <si>
    <t xml:space="preserve">Brushed-brass PVD floor-standing tub filler and fittings. Build: Small décor generated from the accessory kit (vase, tray, books, bowl, candles, diffuser, towels…) and dropped onto the host surface at the marked point. Size: Ø120 × H 1000 mm; 1 instance(s); placed on its host surface. Materials: M_Brass_Brushed, M_Resin_StoneWhite.</t>
  </si>
  <si>
    <t xml:space="preserve">SM_FF_ACCESSORY_120x120x1000</t>
  </si>
  <si>
    <t xml:space="preserve">SM_FF_B2T_16</t>
  </si>
  <si>
    <t xml:space="preserve">B2T-17</t>
  </si>
  <si>
    <t xml:space="preserve">Globe sconces</t>
  </si>
  <si>
    <t xml:space="preserve">Globe sconces. Build: Wall sconce with back plate, emissive diffuser + UE light. Size: Ø180 × H 200 mm; 1 instance(s); wall-mounted, faces —. Materials: per family default.</t>
  </si>
  <si>
    <t xml:space="preserve">SM_FF_B2T_17</t>
  </si>
  <si>
    <t xml:space="preserve">B2T-18</t>
  </si>
  <si>
    <t xml:space="preserve">Mirror backlight. Build: Concealed LED strip along the given line (rect light, emissive strip). Size: 1000 × 40 × H 10 mm; 1 instance(s); placed on its host surface. Materials: per family default.</t>
  </si>
  <si>
    <t xml:space="preserve">SM_FF_LIGHT_LED_STRIP_1000x40x10</t>
  </si>
  <si>
    <t xml:space="preserve">SM_FF_B2T_18</t>
  </si>
  <si>
    <t xml:space="preserve">B2T-19</t>
  </si>
  <si>
    <t xml:space="preserve">Brass heated towel rail</t>
  </si>
  <si>
    <t xml:space="preserve">Brass heated towel rail. Build: Small décor generated from the accessory kit (vase, tray, books, bowl, candles, diffuser, towels…) and dropped onto the host surface at the marked point. Size: 600 × 40 × H 900 mm; 1 instance(s); placed on its host surface. Materials: M_Brass_Brushed.</t>
  </si>
  <si>
    <t xml:space="preserve">SM_FF_ACCESSORY_600x40x900</t>
  </si>
  <si>
    <t xml:space="preserve">SM_FF_B2T_19</t>
  </si>
  <si>
    <t xml:space="preserve">B2T-20</t>
  </si>
  <si>
    <t xml:space="preserve">SM_FF_B2T_20</t>
  </si>
  <si>
    <t xml:space="preserve">B2T-21</t>
  </si>
  <si>
    <t xml:space="preserve">Plush bath mat. Build: Rug slab with bevelled edge; shag variant uses displaced grid; hand-knotted pattern texture slot. Size: 700 × 400 × H 12 mm; 1 instance(s); floor-standing. Materials: M_Wool_Rug.</t>
  </si>
  <si>
    <t xml:space="preserve">SM_FF_RUG_700x400x12</t>
  </si>
  <si>
    <t xml:space="preserve">SM_FF_B2T_21</t>
  </si>
  <si>
    <t xml:space="preserve">LB-01</t>
  </si>
  <si>
    <t xml:space="preserve">Teak lounge chairs ×2 with Sunbrella cushions</t>
  </si>
  <si>
    <t xml:space="preserve">OUTDOOR_LOUNGE_CHAIR</t>
  </si>
  <si>
    <t xml:space="preserve">gen_outdoor_chair</t>
  </si>
  <si>
    <t xml:space="preserve">{"frame": "teak", "cushion": "Sunbrella", "slats": true}</t>
  </si>
  <si>
    <t xml:space="preserve">M_Teak_Outdoor, M_Fabric_Sunbrella</t>
  </si>
  <si>
    <t xml:space="preserve">Teak lounge chairs ×2 with Sunbrella cushions. Build: Teak lounge chair frame (slatted back) + thick outdoor cushions. Size: Ø800 × H 750 mm; 2 instance(s); floor-standing. Materials: M_Teak_Outdoor, M_Fabric_Sunbrella.</t>
  </si>
  <si>
    <t xml:space="preserve">SM_FF_OUTDOOR_LOUNGE_CHAIR_800x800x750</t>
  </si>
  <si>
    <t xml:space="preserve">SM_FF_LB_01</t>
  </si>
  <si>
    <t xml:space="preserve">LB-02</t>
  </si>
  <si>
    <t xml:space="preserve">Round stone table</t>
  </si>
  <si>
    <t xml:space="preserve">{"top_t": 40, "base": "stone pedestal", "edge": "eased 6"}</t>
  </si>
  <si>
    <t xml:space="preserve">Round stone table. Build: Round top with eased edge on a drum or pedestal base; stone/travertine material with honed finish. Size: Ø650 × H 450 mm; 1 instance(s); floor-standing. Materials: M_Travertine.</t>
  </si>
  <si>
    <t xml:space="preserve">SM_FF_TABLE_ROUND_650x650x450</t>
  </si>
  <si>
    <t xml:space="preserve">SM_FF_LB_02</t>
  </si>
  <si>
    <t xml:space="preserve">LB-03</t>
  </si>
  <si>
    <t xml:space="preserve">Teak oonjal (swing) on brass chains (optional)</t>
  </si>
  <si>
    <t xml:space="preserve">SWING_OONJAL</t>
  </si>
  <si>
    <t xml:space="preserve">gen_oonjal</t>
  </si>
  <si>
    <t xml:space="preserve">{"seat": "1500×600 teak", "frame": "A-frame 2000×1200", "chains": "brass"}</t>
  </si>
  <si>
    <t xml:space="preserve">M_Teak_Outdoor, M_Brass_Brushed</t>
  </si>
  <si>
    <t xml:space="preserve">Teak oonjal (swing) on brass chains (optional). Build: Teak swing seat hung on brass chains from an A-frame (or ceiling hooks if structure allows). Size: 2000 × 1200 × H 2400 mm; 1 instance(s); floor-standing. Materials: M_Teak_Outdoor, M_Brass_Brushed. Fit note: A-frame footprint 2000×1200.</t>
  </si>
  <si>
    <t xml:space="preserve">SM_FF_SWING_OONJAL_2000x1200x2400</t>
  </si>
  <si>
    <t xml:space="preserve">SM_FF_LB_03</t>
  </si>
  <si>
    <t xml:space="preserve">A-frame footprint 2000×1200</t>
  </si>
  <si>
    <t xml:space="preserve">LB-04</t>
  </si>
  <si>
    <t xml:space="preserve">Fluted teak cabinet with stone top 1500×450</t>
  </si>
  <si>
    <t xml:space="preserve">OUTDOOR_CABINET</t>
  </si>
  <si>
    <t xml:space="preserve">gen_outdoor_cabinet</t>
  </si>
  <si>
    <t xml:space="preserve">{"front": "fluted teak", "top": "stone 30"}</t>
  </si>
  <si>
    <t xml:space="preserve">M_Teak_Outdoor, M_Travertine</t>
  </si>
  <si>
    <t xml:space="preserve">Fluted teak cabinet with stone top 1500×450. Build: Fluted teak cabinet with stone top, outdoor-grade. Size: 1500 × 450 × H 800 mm; 1 instance(s); floor-standing. Materials: M_Teak_Outdoor, M_Travertine.</t>
  </si>
  <si>
    <t xml:space="preserve">SM_FF_OUTDOOR_CABINET_1500x450x800</t>
  </si>
  <si>
    <t xml:space="preserve">SM_FF_LB_04</t>
  </si>
  <si>
    <t xml:space="preserve">LB-05</t>
  </si>
  <si>
    <t xml:space="preserve">Teak side stools ×2</t>
  </si>
  <si>
    <t xml:space="preserve">STOOL</t>
  </si>
  <si>
    <t xml:space="preserve">gen_stool</t>
  </si>
  <si>
    <t xml:space="preserve">{"material": "teak"}</t>
  </si>
  <si>
    <t xml:space="preserve">Teak side stools ×2. Build: Solid teak drum/side stool. Size: Ø380 × H 450 mm; 2 instance(s); floor-standing. Materials: M_Teak_Outdoor.</t>
  </si>
  <si>
    <t xml:space="preserve">SM_FF_STOOL_380x380x450</t>
  </si>
  <si>
    <t xml:space="preserve">SM_FF_LB_05</t>
  </si>
  <si>
    <t xml:space="preserve">LB-06</t>
  </si>
  <si>
    <t xml:space="preserve">Olive trees ×2 in stone planters</t>
  </si>
  <si>
    <t xml:space="preserve">Olive trees ×2 in stone planters. Build: Stone planter (tapered cylinder) + branch generator (depth 4–5) with olive leaf cards; geometry trimmed 15 mm off walls / 2.70 m ceiling (same as GF QC). Size: Ø560 × H 1800 mm; 2 instance(s); floor-standing. Materials: M_Travertine, M_Foliage_Olive.</t>
  </si>
  <si>
    <t xml:space="preserve">SM_FF_PLANTER_TREE_560x560x1800</t>
  </si>
  <si>
    <t xml:space="preserve">SM_FF_LB_06</t>
  </si>
  <si>
    <t xml:space="preserve">LB-07</t>
  </si>
  <si>
    <t xml:space="preserve">Sunbrella ottoman</t>
  </si>
  <si>
    <t xml:space="preserve">{"bevel": 60, "fabric": "Sunbrella"}</t>
  </si>
  <si>
    <t xml:space="preserve">M_Fabric_Sunbrella, M_Boucle_Grey</t>
  </si>
  <si>
    <t xml:space="preserve">Sunbrella ottoman. Build: Cylindrical pouf with large bevel (60) and subdivision, bouclé normal detail. Size: Ø500 × H 400 mm; 1 instance(s); floor-standing. Materials: M_Fabric_Sunbrella, M_Boucle_Grey.</t>
  </si>
  <si>
    <t xml:space="preserve">SM_FF_POUF_ROUND_500x500x400</t>
  </si>
  <si>
    <t xml:space="preserve">SM_FF_LB_07</t>
  </si>
  <si>
    <t xml:space="preserve">LB-08</t>
  </si>
  <si>
    <t xml:space="preserve">Arched wall niche with shelves</t>
  </si>
  <si>
    <t xml:space="preserve">{"depth": 100, "type": "arched niche with shelves"}</t>
  </si>
  <si>
    <t xml:space="preserve">Arched wall niche with shelves. Build: Wall recess (niche / mirror cabinet / towel shelf) cut as a Boolean into the host wall, lined with the listed material, LED strip optional. Size: 1500 × 40 × H 1800 mm; 1 instance(s); wall-mounted, faces W. Materials: per family default.</t>
  </si>
  <si>
    <t xml:space="preserve">SM_FF_RECESSED_1500x40x1800</t>
  </si>
  <si>
    <t xml:space="preserve">SM_FF_LB_08</t>
  </si>
  <si>
    <t xml:space="preserve">LB-09</t>
  </si>
  <si>
    <t xml:space="preserve">Palms and planters</t>
  </si>
  <si>
    <t xml:space="preserve">{"pot_d": 300, "species": "palm"}</t>
  </si>
  <si>
    <t xml:space="preserve">Palms and planters. Build: Potted plant from leaf-card kit. Size: Ø500 × H 600 mm; 2 instance(s); floor-standing. Materials: M_Foliage_Olive.</t>
  </si>
  <si>
    <t xml:space="preserve">SM_FF_PLANT_SMALL_500x500x600</t>
  </si>
  <si>
    <t xml:space="preserve">SM_FF_LB_09</t>
  </si>
  <si>
    <t xml:space="preserve">LB-10</t>
  </si>
  <si>
    <t xml:space="preserve">Trailing plants</t>
  </si>
  <si>
    <t xml:space="preserve">Trailing plants. Build: Potted plant from leaf-card kit. Size: Ø200 × H 600 mm; 1 instance(s); floor-standing. Materials: M_Foliage_Olive.</t>
  </si>
  <si>
    <t xml:space="preserve">SM_FF_PLANT_SMALL_200x200x600</t>
  </si>
  <si>
    <t xml:space="preserve">SM_FF_LB_10</t>
  </si>
  <si>
    <t xml:space="preserve">LB-11</t>
  </si>
  <si>
    <t xml:space="preserve">Black-steel and brass lanterns ×3</t>
  </si>
  <si>
    <t xml:space="preserve">LANTERN</t>
  </si>
  <si>
    <t xml:space="preserve">gen_lantern</t>
  </si>
  <si>
    <t xml:space="preserve">{"body": "black steel + brass", "glass": true}</t>
  </si>
  <si>
    <t xml:space="preserve">M_Brass_Brushed, M_Steel_Black</t>
  </si>
  <si>
    <t xml:space="preserve">Black-steel and brass lanterns ×3. Build: Floor lantern with glass panes and candle light. Size: Ø220 × H 450 mm; 3 instance(s); floor-standing. Materials: M_Brass_Brushed, M_Steel_Black.</t>
  </si>
  <si>
    <t xml:space="preserve">SM_FF_LANTERN_220x220x450</t>
  </si>
  <si>
    <t xml:space="preserve">SM_FF_LB_11</t>
  </si>
  <si>
    <t xml:space="preserve">LB-12</t>
  </si>
  <si>
    <t xml:space="preserve">Ceramic pot cluster</t>
  </si>
  <si>
    <t xml:space="preserve">{"pot_d": 300, "species": "ceramic pot cluster"}</t>
  </si>
  <si>
    <t xml:space="preserve">Ceramic pot cluster. Build: Potted plant from leaf-card kit. Size: Ø350 × H 600 mm; 1 instance(s); floor-standing. Materials: M_Ceramic_Matte.</t>
  </si>
  <si>
    <t xml:space="preserve">SM_FF_PLANT_SMALL_350x350x600</t>
  </si>
  <si>
    <t xml:space="preserve">SM_FF_LB_12</t>
  </si>
  <si>
    <t xml:space="preserve">LB-13</t>
  </si>
  <si>
    <t xml:space="preserve">Textured plaster walls</t>
  </si>
  <si>
    <t xml:space="preserve">{"apply_to": "all walls", "material": "textured plaster"}</t>
  </si>
  <si>
    <t xml:space="preserve">M_Plaster_Textured</t>
  </si>
  <si>
    <t xml:space="preserve">Textured plaster walls. Build: Applies a wall material (paint / plaster / tile / cladding) to all wall faces of the room. Size: room 3810 × 3733 × H 0 mm; 1 instance(s); applied to the whole room. Materials: M_Plaster_Textured.</t>
  </si>
  <si>
    <t xml:space="preserve">SM_FF_LB_FINISH_WALL</t>
  </si>
  <si>
    <t xml:space="preserve">SM_FF_LB_13</t>
  </si>
  <si>
    <t xml:space="preserve">LB-14</t>
  </si>
  <si>
    <t xml:space="preserve">Teak / ipe hardwood deck (replaces WPC)</t>
  </si>
  <si>
    <t xml:space="preserve">{"pattern": "teak / ipe deck 140×20", "grout": 2}</t>
  </si>
  <si>
    <t xml:space="preserve">Teak / ipe hardwood deck (replaces WPC). Build: Room-polygon floor finish (herringbone / large-format stone / deck boards) with pattern-aware UVs. Size: room 3810 × 3733 × H 15 mm; 1 instance(s); applied to the whole room. Materials: M_Teak_Outdoor.</t>
  </si>
  <si>
    <t xml:space="preserve">SM_FF_LB_FINISH_FLOOR</t>
  </si>
  <si>
    <t xml:space="preserve">SM_FF_LB_14</t>
  </si>
  <si>
    <t xml:space="preserve">LB-15</t>
  </si>
  <si>
    <t xml:space="preserve">Timber slat soffit</t>
  </si>
  <si>
    <t xml:space="preserve">SOFFIT_SLAT</t>
  </si>
  <si>
    <t xml:space="preserve">gen_soffit</t>
  </si>
  <si>
    <t xml:space="preserve">{"slat_w": 70, "gap": 15}</t>
  </si>
  <si>
    <t xml:space="preserve">Timber slat soffit. Build: Timber slat soffit under the balcony ceiling. Size: 3500 × 3400 × H 60 mm; 1 instance(s); ceiling-hung / recessed. Materials: M_Teak_Outdoor.</t>
  </si>
  <si>
    <t xml:space="preserve">SM_FF_LB_SOFFIT_SLAT</t>
  </si>
  <si>
    <t xml:space="preserve">SM_FF_LB_15</t>
  </si>
  <si>
    <t xml:space="preserve">LB-16</t>
  </si>
  <si>
    <t xml:space="preserve">Pebble border around the planters</t>
  </si>
  <si>
    <t xml:space="preserve">PEBBLE_BORDER</t>
  </si>
  <si>
    <t xml:space="preserve">gen_pebbles</t>
  </si>
  <si>
    <t xml:space="preserve">{"width": 150}</t>
  </si>
  <si>
    <t xml:space="preserve">M_Foliage_Olive, M_Travertine</t>
  </si>
  <si>
    <t xml:space="preserve">Pebble border around the planters. Build: Scattered pebble ring around planters. Size: 820 × 820 × H 40 mm; 2 instance(s); floor-standing. Materials: M_Foliage_Olive, M_Travertine.</t>
  </si>
  <si>
    <t xml:space="preserve">SM_FF_PEBBLE_BORDER_820x820x40</t>
  </si>
  <si>
    <t xml:space="preserve">SM_FF_LB_16</t>
  </si>
  <si>
    <t xml:space="preserve">LB-17</t>
  </si>
  <si>
    <t xml:space="preserve">Wall globe lights</t>
  </si>
  <si>
    <t xml:space="preserve">{"style": "outdoor globe", "centre_h": 1600}</t>
  </si>
  <si>
    <t xml:space="preserve">Wall globe lights. Build: Wall sconce with back plate, emissive diffuser + UE light. Size: Ø220 × H 200 mm; 2 instance(s); wall-mounted, faces —. Materials: per family default.</t>
  </si>
  <si>
    <t xml:space="preserve">SM_FF_LIGHT_SCONCE_220x220x200</t>
  </si>
  <si>
    <t xml:space="preserve">SM_FF_LB_17</t>
  </si>
  <si>
    <t xml:space="preserve">LB-18</t>
  </si>
  <si>
    <t xml:space="preserve">Planter uplights</t>
  </si>
  <si>
    <t xml:space="preserve">{"beam_deg": 40, "type": "planter uplight"}</t>
  </si>
  <si>
    <t xml:space="preserve">M_Foliage_Olive, M_Brass_Brushed</t>
  </si>
  <si>
    <t xml:space="preserve">Planter uplights. Build: Recessed downlight / uplight / picture light / niche light. Size: Ø150 × H 80 mm; 2 instance(s); ceiling-hung / recessed. Materials: M_Foliage_Olive, M_Brass_Brushed.</t>
  </si>
  <si>
    <t xml:space="preserve">SM_FF_LB_18</t>
  </si>
  <si>
    <t xml:space="preserve">LB-19</t>
  </si>
  <si>
    <t xml:space="preserve">Wall washers on the niche</t>
  </si>
  <si>
    <t xml:space="preserve">{"beam_deg": 40, "type": "wall washer"}</t>
  </si>
  <si>
    <t xml:space="preserve">Wall washers on the niche. Build: Recessed downlight / uplight / picture light / niche light. Size: Ø200 × H 80 mm; 1 instance(s); ceiling-hung / recessed. Materials: M_Brass_Brushed.</t>
  </si>
  <si>
    <t xml:space="preserve">SM_FF_LB_19</t>
  </si>
  <si>
    <t xml:space="preserve">LB-20</t>
  </si>
  <si>
    <t xml:space="preserve">Solution-dyed outdoor rug</t>
  </si>
  <si>
    <t xml:space="preserve">{"pile": "low", "edge_bevel": 5, "pattern": "solution-dyed outdoor"}</t>
  </si>
  <si>
    <t xml:space="preserve">Solution-dyed outdoor rug. Build: Rug slab with bevelled edge; shag variant uses displaced grid; hand-knotted pattern texture slot. Size: 2600 × 1200 × H 12 mm; 1 instance(s); floor-standing. Materials: M_Wool_Rug.</t>
  </si>
  <si>
    <t xml:space="preserve">SM_FF_RUG_2600x1200x12</t>
  </si>
  <si>
    <t xml:space="preserve">SM_FF_LB_20</t>
  </si>
  <si>
    <t xml:space="preserve">LB-21</t>
  </si>
  <si>
    <t xml:space="preserve">Outdoor throws</t>
  </si>
  <si>
    <t xml:space="preserve">Outdoor throws. Build: Cushions / throws / bed runner / towels / bath mat generated from the soft-furnishing kit onto the host. Size: 250 × 250 × H 150 mm; 1 instance(s); placed on its host surface. Materials: per family default.</t>
  </si>
  <si>
    <t xml:space="preserve">SM_FF_LB_21</t>
  </si>
  <si>
    <t xml:space="preserve">LB-22</t>
  </si>
  <si>
    <t xml:space="preserve">Linen outdoor curtain on one side</t>
  </si>
  <si>
    <t xml:space="preserve">{"fullness": 2.2, "fold_pitch": 160, "track": "motorised ceiling", "layers": "linen outdoor"}</t>
  </si>
  <si>
    <t xml:space="preserve">Linen outdoor curtain on one side. Build: Curtain surface swept along the track with sine folds; sheer = translucent two-sided material. Size: 3400 × 40 × H 2700 mm; 1 instance(s); wall-mounted, faces E. Materials: M_Fabric_Linen.</t>
  </si>
  <si>
    <t xml:space="preserve">SM_FF_CURTAIN_3400x40x2700</t>
  </si>
  <si>
    <t xml:space="preserve">SM_FF_LB_22</t>
  </si>
  <si>
    <t xml:space="preserve">SB-01</t>
  </si>
  <si>
    <t xml:space="preserve">2 slim teak lounge chairs with Sunbrella cushions</t>
  </si>
  <si>
    <t xml:space="preserve">2 slim teak lounge chairs with Sunbrella cushions. Build: Teak lounge chair frame (slatted back) + thick outdoor cushions. Size: Ø700 × H 750 mm; 2 instance(s); floor-standing. Materials: M_Teak_Outdoor, M_Fabric_Sunbrella.</t>
  </si>
  <si>
    <t xml:space="preserve">SM_FF_OUTDOOR_LOUNGE_CHAIR_700x700x750</t>
  </si>
  <si>
    <t xml:space="preserve">SM_FF_SB_01</t>
  </si>
  <si>
    <t xml:space="preserve">SB-02</t>
  </si>
  <si>
    <t xml:space="preserve">Side table Ø400 with stone top</t>
  </si>
  <si>
    <t xml:space="preserve">{"top_t": 40, "base": "teak + stone top", "edge": "eased 6"}</t>
  </si>
  <si>
    <t xml:space="preserve">Side table Ø400 with stone top. Build: Round top with eased edge on a drum or pedestal base; stone/travertine material with honed finish. Size: Ø400 × H 450 mm; 1 instance(s); floor-standing. Materials: M_Travertine.</t>
  </si>
  <si>
    <t xml:space="preserve">SM_FF_TABLE_ROUND_400x400x450</t>
  </si>
  <si>
    <t xml:space="preserve">SM_FF_SB_02</t>
  </si>
  <si>
    <t xml:space="preserve">SB-03</t>
  </si>
  <si>
    <t xml:space="preserve">Narrow planter along the railing</t>
  </si>
  <si>
    <t xml:space="preserve">Narrow planter along the railing. Build: Honed stone trough (hollow, 30 mm walls) planted with trailing foliage cards. Size: 3350 × 205 × H 400 mm; 1 instance(s); floor-standing. Materials: M_Foliage_Olive.</t>
  </si>
  <si>
    <t xml:space="preserve">SM_FF_PLANTER_TROUGH_3350x200x400</t>
  </si>
  <si>
    <t xml:space="preserve">SM_FF_SB_03</t>
  </si>
  <si>
    <t xml:space="preserve">SB-04</t>
  </si>
  <si>
    <t xml:space="preserve">Preserved-moss wall panel in a bronze frame</t>
  </si>
  <si>
    <t xml:space="preserve">MOSS_PANEL</t>
  </si>
  <si>
    <t xml:space="preserve">gen_moss_panel</t>
  </si>
  <si>
    <t xml:space="preserve">{"frame": "bronze 30", "depth": 40}</t>
  </si>
  <si>
    <t xml:space="preserve">M_Bronze_Dark, M_Moss_Preserved</t>
  </si>
  <si>
    <t xml:space="preserve">Preserved-moss wall panel in a bronze frame. Build: Preserved-moss panel in a bronze frame. Size: 1050 × 40 × H 1800 mm; 1 instance(s); wall-mounted, faces S. Materials: M_Bronze_Dark, M_Moss_Preserved.</t>
  </si>
  <si>
    <t xml:space="preserve">SM_FF_MOSS_PANEL_1050x40x1800</t>
  </si>
  <si>
    <t xml:space="preserve">SM_FF_SB_04</t>
  </si>
  <si>
    <t xml:space="preserve">SB-05</t>
  </si>
  <si>
    <t xml:space="preserve">Potted palm</t>
  </si>
  <si>
    <t xml:space="preserve">Potted palm. Build: Potted plant from leaf-card kit. Size: Ø450 × H 600 mm; 1 instance(s); floor-standing. Materials: M_Foliage_Olive.</t>
  </si>
  <si>
    <t xml:space="preserve">SM_FF_PLANT_SMALL_450x450x600</t>
  </si>
  <si>
    <t xml:space="preserve">SM_FF_SB_05</t>
  </si>
  <si>
    <t xml:space="preserve">SB-06</t>
  </si>
  <si>
    <t xml:space="preserve">Bronze hanging planter</t>
  </si>
  <si>
    <t xml:space="preserve">{"type": "bronze hanging planter", "scatter_on": "host top"}</t>
  </si>
  <si>
    <t xml:space="preserve">M_Bronze_Dark, M_Foliage_Olive</t>
  </si>
  <si>
    <t xml:space="preserve">Bronze hanging planter. Build: Small décor generated from the accessory kit (vase, tray, books, bowl, candles, diffuser, towels…) and dropped onto the host surface at the marked point. Size: 250 × 250 × H 150 mm; 1 instance(s); placed on its host surface. Materials: M_Bronze_Dark, M_Foliage_Olive.</t>
  </si>
  <si>
    <t xml:space="preserve">SM_FF_SB_06</t>
  </si>
  <si>
    <t xml:space="preserve">SB-07</t>
  </si>
  <si>
    <t xml:space="preserve">Lantern pair</t>
  </si>
  <si>
    <t xml:space="preserve">Lantern pair. Build: Floor lantern with glass panes and candle light. Size: Ø160 × H 450 mm; 2 instance(s); floor-standing. Materials: per family default.</t>
  </si>
  <si>
    <t xml:space="preserve">SM_FF_LANTERN_160x160x450</t>
  </si>
  <si>
    <t xml:space="preserve">SM_FF_SB_07</t>
  </si>
  <si>
    <t xml:space="preserve">SB-08</t>
  </si>
  <si>
    <t xml:space="preserve">Textured plaster</t>
  </si>
  <si>
    <t xml:space="preserve">Textured plaster. Build: Applies a wall material (paint / plaster / tile / cladding) to all wall faces of the room. Size: room 3733 × 1255 × H 0 mm; 1 instance(s); applied to the whole room. Materials: M_Plaster_Textured.</t>
  </si>
  <si>
    <t xml:space="preserve">SM_FF_SB_FINISH_WALL</t>
  </si>
  <si>
    <t xml:space="preserve">SM_FF_SB_08</t>
  </si>
  <si>
    <t xml:space="preserve">SB-09</t>
  </si>
  <si>
    <t xml:space="preserve">Teak / ipe hardwood deck</t>
  </si>
  <si>
    <t xml:space="preserve">{"pattern": "teak / ipe deck", "grout": 2}</t>
  </si>
  <si>
    <t xml:space="preserve">Teak / ipe hardwood deck. Build: Room-polygon floor finish (herringbone / large-format stone / deck boards) with pattern-aware UVs. Size: room 3733 × 1255 × H 15 mm; 1 instance(s); applied to the whole room. Materials: M_Teak_Outdoor.</t>
  </si>
  <si>
    <t xml:space="preserve">SM_FF_SB_FINISH_FLOOR</t>
  </si>
  <si>
    <t xml:space="preserve">SM_FF_SB_09</t>
  </si>
  <si>
    <t xml:space="preserve">SB-10</t>
  </si>
  <si>
    <t xml:space="preserve">Timber slat soffit. Build: Timber slat soffit under the balcony ceiling. Size: 3640 × 1150 × H 60 mm; 1 instance(s); ceiling-hung / recessed. Materials: M_Teak_Outdoor.</t>
  </si>
  <si>
    <t xml:space="preserve">SM_FF_SB_SOFFIT_SLAT</t>
  </si>
  <si>
    <t xml:space="preserve">SM_FF_SB_10</t>
  </si>
  <si>
    <t xml:space="preserve">SB-11</t>
  </si>
  <si>
    <t xml:space="preserve">Wall globe light</t>
  </si>
  <si>
    <t xml:space="preserve">Wall globe light. Build: Wall sconce with back plate, emissive diffuser + UE light. Size: Ø200 × H 200 mm; 1 instance(s); wall-mounted, faces —. Materials: per family default.</t>
  </si>
  <si>
    <t xml:space="preserve">SM_FF_SB_11</t>
  </si>
  <si>
    <t xml:space="preserve">SB-12</t>
  </si>
  <si>
    <t xml:space="preserve">Wall washer</t>
  </si>
  <si>
    <t xml:space="preserve">Wall washer. Build: Recessed downlight / uplight / picture light / niche light. Size: Ø160 × H 80 mm; 1 instance(s); ceiling-hung / recessed. Materials: M_Brass_Brushed.</t>
  </si>
  <si>
    <t xml:space="preserve">SM_FF_SB_12</t>
  </si>
  <si>
    <t xml:space="preserve">SB-13</t>
  </si>
  <si>
    <t xml:space="preserve">Outdoor cushions and throw</t>
  </si>
  <si>
    <t xml:space="preserve">Outdoor cushions and throw. Build: Cushions / throws / bed runner / towels / bath mat generated from the soft-furnishing kit onto the host. Size: 250 × 250 × H 150 mm; 1 instance(s); placed on its host surface. Materials: per family default.</t>
  </si>
  <si>
    <t xml:space="preserve">SM_FF_SB_13</t>
  </si>
  <si>
    <t xml:space="preserve">ST-01</t>
  </si>
  <si>
    <t xml:space="preserve">Solid-oak treads with black steel rod balustrade (continues the ground floor)</t>
  </si>
  <si>
    <t xml:space="preserve">STAIR</t>
  </si>
  <si>
    <t xml:space="preserve">gen_stair_dogleg</t>
  </si>
  <si>
    <t xml:space="preserve">{"treads": "solid oak 40", "riser_h": 170, "going": 250, "balustrade": "black steel rods Ø12 @100"}</t>
  </si>
  <si>
    <t xml:space="preserve">M_Oak_Light, M_Steel_Black, M_Travertine</t>
  </si>
  <si>
    <t xml:space="preserve">Solid-oak treads with black steel rod balustrade (continues the ground floor). Build: Dog-leg stair continuing the GF stair: oak treads, stone nosing, black steel rod balustrade, recessed LED handrail. Size: 4329 × 2173 × H 3348 mm; 1 instance(s); floor-standing. Materials: M_Oak_Light, M_Steel_Black, M_Travertine.</t>
  </si>
  <si>
    <t xml:space="preserve">SM_FF_STAIR_4330x2170x3348</t>
  </si>
  <si>
    <t xml:space="preserve">SM_FF_ST_01</t>
  </si>
  <si>
    <t xml:space="preserve">ST-02</t>
  </si>
  <si>
    <t xml:space="preserve">Planter with trailing plant at the stair base</t>
  </si>
  <si>
    <t xml:space="preserve">Planter with trailing plant at the stair base. Build: Potted plant from leaf-card kit. Size: Ø420 × H 600 mm; 1 instance(s); floor-standing. Materials: M_Foliage_Olive. Fit note: stair base = landing corner on this floor.</t>
  </si>
  <si>
    <t xml:space="preserve">SM_FF_PLANT_SMALL_420x420x600</t>
  </si>
  <si>
    <t xml:space="preserve">SM_FF_ST_02</t>
  </si>
  <si>
    <t xml:space="preserve">stair base = landing corner on this floor</t>
  </si>
  <si>
    <t xml:space="preserve">ST-03</t>
  </si>
  <si>
    <t xml:space="preserve">Landing artwork</t>
  </si>
  <si>
    <t xml:space="preserve">Landing artwork. Build: Framed artwork: walnut frame, canvas plane with image texture slot; wall stand-off 2 mm. Size: 600 × 40 × H 800 mm; 1 instance(s); wall-mounted, faces E. Materials: per family default.</t>
  </si>
  <si>
    <t xml:space="preserve">SM_FF_ART_FRAME_600x40x800</t>
  </si>
  <si>
    <t xml:space="preserve">SM_FF_ST_03</t>
  </si>
  <si>
    <t xml:space="preserve">ST-04</t>
  </si>
  <si>
    <t xml:space="preserve">Gallery of 3 frames along the flight</t>
  </si>
  <si>
    <t xml:space="preserve">Gallery of 3 frames along the flight. Build: Framed artwork: walnut frame, canvas plane with image texture slot; wall stand-off 2 mm. Size: 500 × 40 × H 650 mm; 3 instance(s); wall-mounted, faces E. Materials: per family default.</t>
  </si>
  <si>
    <t xml:space="preserve">SM_FF_ART_FRAME_500x40x650</t>
  </si>
  <si>
    <t xml:space="preserve">SM_FF_ST_04</t>
  </si>
  <si>
    <t xml:space="preserve">ST-05</t>
  </si>
  <si>
    <t xml:space="preserve">Sculpture niche with bronze sculpture</t>
  </si>
  <si>
    <t xml:space="preserve">{"depth": 100, "type": "sculpture niche + bronze sculpture"}</t>
  </si>
  <si>
    <t xml:space="preserve">Sculpture niche with bronze sculpture. Build: Wall recess (niche / mirror cabinet / towel shelf) cut as a Boolean into the host wall, lined with the listed material, LED strip optional. Size: 700 × 40 × H 900 mm; 1 instance(s); wall-mounted, faces N. Materials: M_Bronze_Dark.</t>
  </si>
  <si>
    <t xml:space="preserve">SM_FF_RECESSED_700x40x900</t>
  </si>
  <si>
    <t xml:space="preserve">SM_FF_ST_05</t>
  </si>
  <si>
    <t xml:space="preserve">ST-06</t>
  </si>
  <si>
    <t xml:space="preserve">Travertine wall cladding</t>
  </si>
  <si>
    <t xml:space="preserve">{"apply_to": "all walls", "material": "travertine cladding"}</t>
  </si>
  <si>
    <t xml:space="preserve">Travertine wall cladding. Build: Applies a wall material (paint / plaster / tile / cladding) to all wall faces of the room. Size: room 4329 × 2173 × H 0 mm; 1 instance(s); applied to the whole room. Materials: M_Travertine.</t>
  </si>
  <si>
    <t xml:space="preserve">SM_FF_ST_FINISH_WALL</t>
  </si>
  <si>
    <t xml:space="preserve">SM_FF_ST_06</t>
  </si>
  <si>
    <t xml:space="preserve">ST-07</t>
  </si>
  <si>
    <t xml:space="preserve">Stone nosing on the treads</t>
  </si>
  <si>
    <t xml:space="preserve">Stone nosing on the treads. Build: Metal/stone strip inlaid flush in the floor or nosing at an edge. Size: 250 × 250 × H 5 mm; 1 instance(s); floor-standing. Materials: M_Travertine.</t>
  </si>
  <si>
    <t xml:space="preserve">SM_FF_ST_07</t>
  </si>
  <si>
    <t xml:space="preserve">ST-08</t>
  </si>
  <si>
    <t xml:space="preserve">Recessed handrail with LED</t>
  </si>
  <si>
    <t xml:space="preserve">{"cct": 2700, "type": "recessed handrail LED"}</t>
  </si>
  <si>
    <t xml:space="preserve">Recessed handrail with LED. Build: Concealed LED strip along the given line (rect light, emissive strip). Size: 3100 × 41 × H 10 mm; 1 instance(s); placed on its host surface. Materials: per family default.</t>
  </si>
  <si>
    <t xml:space="preserve">SM_FF_LIGHT_LED_STRIP_3100x40x10</t>
  </si>
  <si>
    <t xml:space="preserve">SM_FF_ST_08</t>
  </si>
  <si>
    <t xml:space="preserve">ST-09</t>
  </si>
  <si>
    <t xml:space="preserve">Recessed LED step lights</t>
  </si>
  <si>
    <t xml:space="preserve">{"cct": 2700, "type": "step lights"}</t>
  </si>
  <si>
    <t xml:space="preserve">Recessed LED step lights. Build: Concealed LED strip along the given line (rect light, emissive strip). Size: 3200 × 40 × H 10 mm; 1 instance(s); placed on its host surface. Materials: per family default.</t>
  </si>
  <si>
    <t xml:space="preserve">SM_FF_ST_09</t>
  </si>
  <si>
    <t xml:space="preserve">ST-10</t>
  </si>
  <si>
    <t xml:space="preserve">Sculptural blown-glass pendant cluster in the stair void</t>
  </si>
  <si>
    <t xml:space="preserve">{"style": "blown-glass pendant cluster", "drop_to_bottom_mm": 2400, "lumens": 3000}</t>
  </si>
  <si>
    <t xml:space="preserve">Sculptural blown-glass pendant cluster in the stair void. Build: Ceiling-hung fixture with canopy, rod/cables and emissive parts + UE point/spot lights. Size: Ø700 × H 600 mm; 1 instance(s); ceiling-hung / recessed. Materials: M_Glass_LowIron.</t>
  </si>
  <si>
    <t xml:space="preserve">SM_FF_LIGHT_CHANDELIER_700x700x600</t>
  </si>
  <si>
    <t xml:space="preserve">SM_FF_ST_10</t>
  </si>
  <si>
    <t xml:space="preserve">LL-01</t>
  </si>
  <si>
    <t xml:space="preserve">Slim walnut console 800×300 with brass legs beside the lift door</t>
  </si>
  <si>
    <t xml:space="preserve">{"top_t": 40, "leg": "brass legs", "inlay": "brass 6 mm", "drawer_count": 0}</t>
  </si>
  <si>
    <t xml:space="preserve">Slim walnut console 800×300 with brass legs beside the lift door. Build: Wall console: top slab + side panels or brass legs; optional solid-brass inlay strip routed 6 mm into the top; 20 mm wall stand-off. Size: 800 × 300 × H 800 mm; 1 instance(s); floor-standing. Materials: M_Walnut, M_Brass_Brushed. Fit note: in the 930 mm of wall between the lift and the vestibule door.</t>
  </si>
  <si>
    <t xml:space="preserve">SM_FF_CONSOLE_800x300x800</t>
  </si>
  <si>
    <t xml:space="preserve">SM_FF_LL_01</t>
  </si>
  <si>
    <t xml:space="preserve">in the 930 mm of wall between the lift and the vestibule door</t>
  </si>
  <si>
    <t xml:space="preserve">LL-02</t>
  </si>
  <si>
    <t xml:space="preserve">Round brass mirror</t>
  </si>
  <si>
    <t xml:space="preserve">{"shape": "round Ø500", "frame": "brass", "backlight": false, "centre_h": 1500}</t>
  </si>
  <si>
    <t xml:space="preserve">Round brass mirror. Build: Mirror plane with brass/bronze frame; shape: round / oval / organic spline / full-length. Size: 500 × 37 × H 900 mm; 1 instance(s); wall-mounted, faces N. Materials: M_Brass_Brushed.</t>
  </si>
  <si>
    <t xml:space="preserve">SM_FF_MIRROR_500x40x900</t>
  </si>
  <si>
    <t xml:space="preserve">SM_FF_LL_02</t>
  </si>
  <si>
    <t xml:space="preserve">LL-03</t>
  </si>
  <si>
    <t xml:space="preserve">SM_FF_LL_03</t>
  </si>
  <si>
    <t xml:space="preserve">LL-04</t>
  </si>
  <si>
    <t xml:space="preserve">Brass lift fascia and floor indicator</t>
  </si>
  <si>
    <t xml:space="preserve">LIFT_FINISH</t>
  </si>
  <si>
    <t xml:space="preserve">gen_lift_finish</t>
  </si>
  <si>
    <t xml:space="preserve">{"type": "brass fascia + indicator"}</t>
  </si>
  <si>
    <t xml:space="preserve">Brass lift fascia and floor indicator. Build: Lift door fascia / indicator / surround applied to the lift opening. Size: 1010 × 40 × H 2100 mm; 1 instance(s); wall-mounted, faces N. Materials: M_Brass_Brushed.</t>
  </si>
  <si>
    <t xml:space="preserve">SM_FF_LIFT_FINISH_1010x40x2100</t>
  </si>
  <si>
    <t xml:space="preserve">SM_FF_LL_04</t>
  </si>
  <si>
    <t xml:space="preserve">LL-05</t>
  </si>
  <si>
    <t xml:space="preserve">Travertine surround (matches ground floor)</t>
  </si>
  <si>
    <t xml:space="preserve">{"type": "travertine surround"}</t>
  </si>
  <si>
    <t xml:space="preserve">M_Travertine, M_Wool_Rug</t>
  </si>
  <si>
    <t xml:space="preserve">Travertine surround (matches ground floor). Build: Lift door fascia / indicator / surround applied to the lift opening. Size: 100 × 40 × H 2100 mm; 2 instance(s); wall-mounted, faces N. Materials: M_Travertine, M_Wool_Rug.</t>
  </si>
  <si>
    <t xml:space="preserve">SM_FF_LIFT_FINISH_100x40x2100</t>
  </si>
  <si>
    <t xml:space="preserve">SM_FF_LL_05</t>
  </si>
  <si>
    <t xml:space="preserve">LL-06</t>
  </si>
  <si>
    <t xml:space="preserve">Bronze inlay at the lift threshold</t>
  </si>
  <si>
    <t xml:space="preserve">{"width": 20, "material": "bronze threshold"}</t>
  </si>
  <si>
    <t xml:space="preserve">Bronze inlay at the lift threshold. Build: Metal/stone strip inlaid flush in the floor or nosing at an edge. Size: 1010 × 50 × H 5 mm; 1 instance(s); floor-standing. Materials: M_Bronze_Dark.</t>
  </si>
  <si>
    <t xml:space="preserve">SM_FF_INLAY_STRIP_1010x50x5</t>
  </si>
  <si>
    <t xml:space="preserve">SM_FF_LL_06</t>
  </si>
  <si>
    <t xml:space="preserve">LL-07</t>
  </si>
  <si>
    <t xml:space="preserve">Downlight</t>
  </si>
  <si>
    <t xml:space="preserve">{"beam_deg": 40, "type": "downlight"}</t>
  </si>
  <si>
    <t xml:space="preserve">Downlight. Build: Recessed downlight / uplight / picture light / niche light. Size: Ø200 × H 80 mm; 1 instance(s); ceiling-hung / recessed. Materials: M_Brass_Brushed.</t>
  </si>
  <si>
    <t xml:space="preserve">SM_FF_LL_07</t>
  </si>
  <si>
    <t xml:space="preserve">LL-08</t>
  </si>
  <si>
    <t xml:space="preserve">Brass wall sconce pair</t>
  </si>
  <si>
    <t xml:space="preserve">{"style": "brass", "centre_h": 1600}</t>
  </si>
  <si>
    <t xml:space="preserve">Brass wall sconce pair. Build: Wall sconce with back plate, emissive diffuser + UE light. Size: Ø180 × H 200 mm; 2 instance(s); wall-mounted, faces —. Materials: M_Brass_Brushed.</t>
  </si>
  <si>
    <t xml:space="preserve">SM_FF_LL_08</t>
  </si>
  <si>
    <t xml:space="preserve">Instance</t>
  </si>
  <si>
    <t xml:space="preserve">X_mm</t>
  </si>
  <si>
    <t xml:space="preserve">Y_mm</t>
  </si>
  <si>
    <t xml:space="preserve">Z_mm</t>
  </si>
  <si>
    <t xml:space="preserve">Footprint_L_mm</t>
  </si>
  <si>
    <t xml:space="preserve">Footprint_W_mm</t>
  </si>
  <si>
    <t xml:space="preserve">Object_Name</t>
  </si>
  <si>
    <t xml:space="preserve">SM_FF_UL_01_01</t>
  </si>
  <si>
    <t xml:space="preserve">SM_FF_UL_01_02</t>
  </si>
  <si>
    <t xml:space="preserve">SM_FF_UL_02_01</t>
  </si>
  <si>
    <t xml:space="preserve">SM_FF_UL_03_01</t>
  </si>
  <si>
    <t xml:space="preserve">SM_FF_UL_04_01</t>
  </si>
  <si>
    <t xml:space="preserve">SM_FF_UL_05_01</t>
  </si>
  <si>
    <t xml:space="preserve">SM_FF_UL_06_01</t>
  </si>
  <si>
    <t xml:space="preserve">SM_FF_UL_06_02</t>
  </si>
  <si>
    <t xml:space="preserve">SM_FF_UL_07_01</t>
  </si>
  <si>
    <t xml:space="preserve">SM_FF_UL_07_02</t>
  </si>
  <si>
    <t xml:space="preserve">SM_FF_UL_08_01</t>
  </si>
  <si>
    <t xml:space="preserve">SM_FF_UL_09_01</t>
  </si>
  <si>
    <t xml:space="preserve">SM_FF_UL_10_01</t>
  </si>
  <si>
    <t xml:space="preserve">SM_FF_UL_11_01</t>
  </si>
  <si>
    <t xml:space="preserve">SM_FF_UL_12_01</t>
  </si>
  <si>
    <t xml:space="preserve">SM_FF_UL_13_01</t>
  </si>
  <si>
    <t xml:space="preserve">SM_FF_UL_14_01</t>
  </si>
  <si>
    <t xml:space="preserve">SM_FF_UL_15_01</t>
  </si>
  <si>
    <t xml:space="preserve">SM_FF_UL_16_01</t>
  </si>
  <si>
    <t xml:space="preserve">SM_FF_UL_17_01</t>
  </si>
  <si>
    <t xml:space="preserve">SM_FF_UL_18_01</t>
  </si>
  <si>
    <t xml:space="preserve">SM_FF_UL_19_01</t>
  </si>
  <si>
    <t xml:space="preserve">SM_FF_UL_20_01</t>
  </si>
  <si>
    <t xml:space="preserve">SM_FF_UL_21_01</t>
  </si>
  <si>
    <t xml:space="preserve">SM_FF_UL_22_01</t>
  </si>
  <si>
    <t xml:space="preserve">SM_FF_UL_23_01</t>
  </si>
  <si>
    <t xml:space="preserve">SM_FF_UL_24_01</t>
  </si>
  <si>
    <t xml:space="preserve">SM_FF_UL_24_02</t>
  </si>
  <si>
    <t xml:space="preserve">SM_FF_UL_25_01</t>
  </si>
  <si>
    <t xml:space="preserve">SM_FF_UL_26_01</t>
  </si>
  <si>
    <t xml:space="preserve">SM_FF_UL_27_01</t>
  </si>
  <si>
    <t xml:space="preserve">SM_FF_UL_28_01</t>
  </si>
  <si>
    <t xml:space="preserve">SM_FF_VO_01_01</t>
  </si>
  <si>
    <t xml:space="preserve">SM_FF_VO_02_01</t>
  </si>
  <si>
    <t xml:space="preserve">SM_FF_VO_03_01</t>
  </si>
  <si>
    <t xml:space="preserve">SM_FF_VO_04_01</t>
  </si>
  <si>
    <t xml:space="preserve">SM_FF_VO_05_01</t>
  </si>
  <si>
    <t xml:space="preserve">SM_FF_VO_06_01</t>
  </si>
  <si>
    <t xml:space="preserve">SM_FF_VO_07_01</t>
  </si>
  <si>
    <t xml:space="preserve">SM_FF_VO_08_01</t>
  </si>
  <si>
    <t xml:space="preserve">SM_FF_MB_01_01</t>
  </si>
  <si>
    <t xml:space="preserve">SM_FF_MB_02_01</t>
  </si>
  <si>
    <t xml:space="preserve">SM_FF_MB_02_02</t>
  </si>
  <si>
    <t xml:space="preserve">SM_FF_MB_03_01</t>
  </si>
  <si>
    <t xml:space="preserve">SM_FF_MB_03_02</t>
  </si>
  <si>
    <t xml:space="preserve">SM_FF_MB_03_03</t>
  </si>
  <si>
    <t xml:space="preserve">SM_FF_MB_04_01</t>
  </si>
  <si>
    <t xml:space="preserve">SM_FF_MB_05_01</t>
  </si>
  <si>
    <t xml:space="preserve">SM_FF_MB_06_01</t>
  </si>
  <si>
    <t xml:space="preserve">SM_FF_MB_07_01</t>
  </si>
  <si>
    <t xml:space="preserve">SM_FF_MB_08_01</t>
  </si>
  <si>
    <t xml:space="preserve">SM_FF_MB_09_01</t>
  </si>
  <si>
    <t xml:space="preserve">SM_FF_MB_10_01</t>
  </si>
  <si>
    <t xml:space="preserve">SM_FF_MB_11_01</t>
  </si>
  <si>
    <t xml:space="preserve">SM_FF_MB_12_01</t>
  </si>
  <si>
    <t xml:space="preserve">SM_FF_MB_13_01</t>
  </si>
  <si>
    <t xml:space="preserve">SM_FF_MB_14_01</t>
  </si>
  <si>
    <t xml:space="preserve">SM_FF_MB_15_01</t>
  </si>
  <si>
    <t xml:space="preserve">SM_FF_MB_16_01</t>
  </si>
  <si>
    <t xml:space="preserve">SM_FF_MB_17_01</t>
  </si>
  <si>
    <t xml:space="preserve">SM_FF_MB_18_01</t>
  </si>
  <si>
    <t xml:space="preserve">SM_FF_MB_19_01</t>
  </si>
  <si>
    <t xml:space="preserve">SM_FF_MB_20_01</t>
  </si>
  <si>
    <t xml:space="preserve">SM_FF_MB_20_02</t>
  </si>
  <si>
    <t xml:space="preserve">SM_FF_MB_21_01</t>
  </si>
  <si>
    <t xml:space="preserve">SM_FF_MB_21_02</t>
  </si>
  <si>
    <t xml:space="preserve">SM_FF_MB_22_01</t>
  </si>
  <si>
    <t xml:space="preserve">SM_FF_MB_23_01</t>
  </si>
  <si>
    <t xml:space="preserve">SM_FF_MB_24_01</t>
  </si>
  <si>
    <t xml:space="preserve">SM_FF_MB_25_01</t>
  </si>
  <si>
    <t xml:space="preserve">SM_FF_MB_26_01</t>
  </si>
  <si>
    <t xml:space="preserve">SM_FF_MB_27_01</t>
  </si>
  <si>
    <t xml:space="preserve">SM_FF_MW_01_01</t>
  </si>
  <si>
    <t xml:space="preserve">SM_FF_MW_01_02</t>
  </si>
  <si>
    <t xml:space="preserve">SM_FF_MW_02_01</t>
  </si>
  <si>
    <t xml:space="preserve">SM_FF_MW_03_01</t>
  </si>
  <si>
    <t xml:space="preserve">SM_FF_MW_04_01</t>
  </si>
  <si>
    <t xml:space="preserve">SM_FF_MW_05_01</t>
  </si>
  <si>
    <t xml:space="preserve">SM_FF_MW_06_01</t>
  </si>
  <si>
    <t xml:space="preserve">SM_FF_MW_07_01</t>
  </si>
  <si>
    <t xml:space="preserve">SM_FF_MW_08_01</t>
  </si>
  <si>
    <t xml:space="preserve">SM_FF_MW_09_01</t>
  </si>
  <si>
    <t xml:space="preserve">SM_FF_MW_10_01</t>
  </si>
  <si>
    <t xml:space="preserve">SM_FF_MW_11_01</t>
  </si>
  <si>
    <t xml:space="preserve">SM_FF_MW_12_01</t>
  </si>
  <si>
    <t xml:space="preserve">SM_FF_MW_13_01</t>
  </si>
  <si>
    <t xml:space="preserve">SM_FF_MW_14_01</t>
  </si>
  <si>
    <t xml:space="preserve">SM_FF_MW_15_01</t>
  </si>
  <si>
    <t xml:space="preserve">SM_FF_MW_16_01</t>
  </si>
  <si>
    <t xml:space="preserve">SM_FF_MW_17_01</t>
  </si>
  <si>
    <t xml:space="preserve">SM_FF_MW_18_01</t>
  </si>
  <si>
    <t xml:space="preserve">SM_FF_MW_19_01</t>
  </si>
  <si>
    <t xml:space="preserve">SM_FF_MW_20_01</t>
  </si>
  <si>
    <t xml:space="preserve">SM_FF_MW_21_01</t>
  </si>
  <si>
    <t xml:space="preserve">SM_FF_MT_01_01</t>
  </si>
  <si>
    <t xml:space="preserve">SM_FF_MT_02_01</t>
  </si>
  <si>
    <t xml:space="preserve">SM_FF_MT_03_01</t>
  </si>
  <si>
    <t xml:space="preserve">SM_FF_MT_04_01</t>
  </si>
  <si>
    <t xml:space="preserve">SM_FF_MT_05_01</t>
  </si>
  <si>
    <t xml:space="preserve">SM_FF_MT_06_01</t>
  </si>
  <si>
    <t xml:space="preserve">SM_FF_MT_07_01</t>
  </si>
  <si>
    <t xml:space="preserve">SM_FF_MT_08_01</t>
  </si>
  <si>
    <t xml:space="preserve">SM_FF_MT_09_01</t>
  </si>
  <si>
    <t xml:space="preserve">SM_FF_MT_10_01</t>
  </si>
  <si>
    <t xml:space="preserve">SM_FF_MT_11_01</t>
  </si>
  <si>
    <t xml:space="preserve">SM_FF_MT_12_01</t>
  </si>
  <si>
    <t xml:space="preserve">SM_FF_MT_13_01</t>
  </si>
  <si>
    <t xml:space="preserve">SM_FF_MT_14_01</t>
  </si>
  <si>
    <t xml:space="preserve">SM_FF_MT_15_01</t>
  </si>
  <si>
    <t xml:space="preserve">SM_FF_MT_16_01</t>
  </si>
  <si>
    <t xml:space="preserve">SM_FF_MT_17_01</t>
  </si>
  <si>
    <t xml:space="preserve">SM_FF_MT_18_01</t>
  </si>
  <si>
    <t xml:space="preserve">SM_FF_MT_18_02</t>
  </si>
  <si>
    <t xml:space="preserve">SM_FF_MT_19_01</t>
  </si>
  <si>
    <t xml:space="preserve">SM_FF_MT_20_01</t>
  </si>
  <si>
    <t xml:space="preserve">SM_FF_MT_21_01</t>
  </si>
  <si>
    <t xml:space="preserve">SM_FF_MT_22_01</t>
  </si>
  <si>
    <t xml:space="preserve">SM_FF_MT_23_01</t>
  </si>
  <si>
    <t xml:space="preserve">SM_FF_MT_24_01</t>
  </si>
  <si>
    <t xml:space="preserve">SM_FF_B1_01_01</t>
  </si>
  <si>
    <t xml:space="preserve">SM_FF_B1_02_01</t>
  </si>
  <si>
    <t xml:space="preserve">SM_FF_B1_02_02</t>
  </si>
  <si>
    <t xml:space="preserve">SM_FF_B1_03_01</t>
  </si>
  <si>
    <t xml:space="preserve">SM_FF_B1_04_01</t>
  </si>
  <si>
    <t xml:space="preserve">SM_FF_B1_05_01</t>
  </si>
  <si>
    <t xml:space="preserve">SM_FF_B1_06_01</t>
  </si>
  <si>
    <t xml:space="preserve">SM_FF_B1_07_01</t>
  </si>
  <si>
    <t xml:space="preserve">SM_FF_B1_08_01</t>
  </si>
  <si>
    <t xml:space="preserve">SM_FF_B1_09_01</t>
  </si>
  <si>
    <t xml:space="preserve">SM_FF_B1_10_01</t>
  </si>
  <si>
    <t xml:space="preserve">SM_FF_B1_11_01</t>
  </si>
  <si>
    <t xml:space="preserve">SM_FF_B1_12_01</t>
  </si>
  <si>
    <t xml:space="preserve">SM_FF_B1_13_01</t>
  </si>
  <si>
    <t xml:space="preserve">SM_FF_B1_14_01</t>
  </si>
  <si>
    <t xml:space="preserve">SM_FF_B1_15_01</t>
  </si>
  <si>
    <t xml:space="preserve">SM_FF_B1_15_02</t>
  </si>
  <si>
    <t xml:space="preserve">SM_FF_B1_16_01</t>
  </si>
  <si>
    <t xml:space="preserve">SM_FF_B1_17_01</t>
  </si>
  <si>
    <t xml:space="preserve">SM_FF_B1_18_01</t>
  </si>
  <si>
    <t xml:space="preserve">SM_FF_B1_18_02</t>
  </si>
  <si>
    <t xml:space="preserve">SM_FF_B1_19_01</t>
  </si>
  <si>
    <t xml:space="preserve">SM_FF_B1_19_02</t>
  </si>
  <si>
    <t xml:space="preserve">SM_FF_B1_20_01</t>
  </si>
  <si>
    <t xml:space="preserve">SM_FF_B1_21_01</t>
  </si>
  <si>
    <t xml:space="preserve">SM_FF_B1_22_01</t>
  </si>
  <si>
    <t xml:space="preserve">SM_FF_B1_23_01</t>
  </si>
  <si>
    <t xml:space="preserve">SM_FF_B1_24_01</t>
  </si>
  <si>
    <t xml:space="preserve">SM_FF_BW_01_01</t>
  </si>
  <si>
    <t xml:space="preserve">SM_FF_BW_01_02</t>
  </si>
  <si>
    <t xml:space="preserve">SM_FF_BW_02_01</t>
  </si>
  <si>
    <t xml:space="preserve">SM_FF_BW_03_01</t>
  </si>
  <si>
    <t xml:space="preserve">SM_FF_BW_04_01</t>
  </si>
  <si>
    <t xml:space="preserve">SM_FF_BW_05_01</t>
  </si>
  <si>
    <t xml:space="preserve">SM_FF_BW_06_01</t>
  </si>
  <si>
    <t xml:space="preserve">SM_FF_BW_07_01</t>
  </si>
  <si>
    <t xml:space="preserve">SM_FF_BW_08_01</t>
  </si>
  <si>
    <t xml:space="preserve">SM_FF_BW_09_01</t>
  </si>
  <si>
    <t xml:space="preserve">SM_FF_BW_10_01</t>
  </si>
  <si>
    <t xml:space="preserve">SM_FF_BW_11_01</t>
  </si>
  <si>
    <t xml:space="preserve">SM_FF_BW_12_01</t>
  </si>
  <si>
    <t xml:space="preserve">SM_FF_BW_13_01</t>
  </si>
  <si>
    <t xml:space="preserve">SM_FF_BW_14_01</t>
  </si>
  <si>
    <t xml:space="preserve">SM_FF_BT_01_01</t>
  </si>
  <si>
    <t xml:space="preserve">SM_FF_BT_02_01</t>
  </si>
  <si>
    <t xml:space="preserve">SM_FF_BT_03_01</t>
  </si>
  <si>
    <t xml:space="preserve">SM_FF_BT_04_01</t>
  </si>
  <si>
    <t xml:space="preserve">SM_FF_BT_05_01</t>
  </si>
  <si>
    <t xml:space="preserve">SM_FF_BT_06_01</t>
  </si>
  <si>
    <t xml:space="preserve">SM_FF_BT_07_01</t>
  </si>
  <si>
    <t xml:space="preserve">SM_FF_BT_08_01</t>
  </si>
  <si>
    <t xml:space="preserve">SM_FF_BT_09_01</t>
  </si>
  <si>
    <t xml:space="preserve">SM_FF_BT_10_01</t>
  </si>
  <si>
    <t xml:space="preserve">SM_FF_BT_11_01</t>
  </si>
  <si>
    <t xml:space="preserve">SM_FF_BT_12_01</t>
  </si>
  <si>
    <t xml:space="preserve">SM_FF_BT_13_01</t>
  </si>
  <si>
    <t xml:space="preserve">SM_FF_BT_14_01</t>
  </si>
  <si>
    <t xml:space="preserve">SM_FF_BT_15_01</t>
  </si>
  <si>
    <t xml:space="preserve">SM_FF_BT_16_01</t>
  </si>
  <si>
    <t xml:space="preserve">SM_FF_BT_17_01</t>
  </si>
  <si>
    <t xml:space="preserve">SM_FF_B2_01_01</t>
  </si>
  <si>
    <t xml:space="preserve">SM_FF_B2_02_01</t>
  </si>
  <si>
    <t xml:space="preserve">SM_FF_B2_02_02</t>
  </si>
  <si>
    <t xml:space="preserve">SM_FF_B2_03_01</t>
  </si>
  <si>
    <t xml:space="preserve">SM_FF_B2_03_02</t>
  </si>
  <si>
    <t xml:space="preserve">SM_FF_B2_04_01</t>
  </si>
  <si>
    <t xml:space="preserve">SM_FF_B2_05_01</t>
  </si>
  <si>
    <t xml:space="preserve">SM_FF_B2_06_01</t>
  </si>
  <si>
    <t xml:space="preserve">SM_FF_B2_07_01</t>
  </si>
  <si>
    <t xml:space="preserve">SM_FF_B2_08_01</t>
  </si>
  <si>
    <t xml:space="preserve">SM_FF_B2_09_01</t>
  </si>
  <si>
    <t xml:space="preserve">SM_FF_B2_10_01</t>
  </si>
  <si>
    <t xml:space="preserve">SM_FF_B2_11_01</t>
  </si>
  <si>
    <t xml:space="preserve">SM_FF_B2_12_01</t>
  </si>
  <si>
    <t xml:space="preserve">SM_FF_B2_13_01</t>
  </si>
  <si>
    <t xml:space="preserve">SM_FF_B2_14_01</t>
  </si>
  <si>
    <t xml:space="preserve">SM_FF_B2_15_01</t>
  </si>
  <si>
    <t xml:space="preserve">SM_FF_B2_16_01</t>
  </si>
  <si>
    <t xml:space="preserve">SM_FF_B2_17_01</t>
  </si>
  <si>
    <t xml:space="preserve">SM_FF_B2_18_01</t>
  </si>
  <si>
    <t xml:space="preserve">SM_FF_B2_18_02</t>
  </si>
  <si>
    <t xml:space="preserve">SM_FF_B2_19_01</t>
  </si>
  <si>
    <t xml:space="preserve">SM_FF_B2_20_01</t>
  </si>
  <si>
    <t xml:space="preserve">SM_FF_B2_21_01</t>
  </si>
  <si>
    <t xml:space="preserve">SM_FF_B2_22_01</t>
  </si>
  <si>
    <t xml:space="preserve">SM_FF_B2T_01_01</t>
  </si>
  <si>
    <t xml:space="preserve">SM_FF_B2T_02_01</t>
  </si>
  <si>
    <t xml:space="preserve">SM_FF_B2T_03_01</t>
  </si>
  <si>
    <t xml:space="preserve">SM_FF_B2T_04_01</t>
  </si>
  <si>
    <t xml:space="preserve">SM_FF_B2T_05_01</t>
  </si>
  <si>
    <t xml:space="preserve">SM_FF_B2T_06_01</t>
  </si>
  <si>
    <t xml:space="preserve">SM_FF_B2T_07_01</t>
  </si>
  <si>
    <t xml:space="preserve">SM_FF_B2T_08_01</t>
  </si>
  <si>
    <t xml:space="preserve">SM_FF_B2T_09_01</t>
  </si>
  <si>
    <t xml:space="preserve">SM_FF_B2T_10_01</t>
  </si>
  <si>
    <t xml:space="preserve">SM_FF_B2T_11_01</t>
  </si>
  <si>
    <t xml:space="preserve">SM_FF_B2T_12_01</t>
  </si>
  <si>
    <t xml:space="preserve">SM_FF_B2T_13_01</t>
  </si>
  <si>
    <t xml:space="preserve">SM_FF_B2T_14_01</t>
  </si>
  <si>
    <t xml:space="preserve">SM_FF_B2T_15_01</t>
  </si>
  <si>
    <t xml:space="preserve">SM_FF_B2T_16_01</t>
  </si>
  <si>
    <t xml:space="preserve">SM_FF_B2T_17_01</t>
  </si>
  <si>
    <t xml:space="preserve">SM_FF_B2T_18_01</t>
  </si>
  <si>
    <t xml:space="preserve">SM_FF_B2T_19_01</t>
  </si>
  <si>
    <t xml:space="preserve">SM_FF_B2T_20_01</t>
  </si>
  <si>
    <t xml:space="preserve">SM_FF_B2T_21_01</t>
  </si>
  <si>
    <t xml:space="preserve">SM_FF_LB_01_01</t>
  </si>
  <si>
    <t xml:space="preserve">SM_FF_LB_01_02</t>
  </si>
  <si>
    <t xml:space="preserve">SM_FF_LB_02_01</t>
  </si>
  <si>
    <t xml:space="preserve">SM_FF_LB_03_01</t>
  </si>
  <si>
    <t xml:space="preserve">SM_FF_LB_04_01</t>
  </si>
  <si>
    <t xml:space="preserve">SM_FF_LB_05_01</t>
  </si>
  <si>
    <t xml:space="preserve">SM_FF_LB_05_02</t>
  </si>
  <si>
    <t xml:space="preserve">SM_FF_LB_06_01</t>
  </si>
  <si>
    <t xml:space="preserve">SM_FF_LB_06_02</t>
  </si>
  <si>
    <t xml:space="preserve">SM_FF_LB_07_01</t>
  </si>
  <si>
    <t xml:space="preserve">SM_FF_LB_08_01</t>
  </si>
  <si>
    <t xml:space="preserve">SM_FF_LB_09_01</t>
  </si>
  <si>
    <t xml:space="preserve">SM_FF_LB_09_02</t>
  </si>
  <si>
    <t xml:space="preserve">SM_FF_LB_10_01</t>
  </si>
  <si>
    <t xml:space="preserve">SM_FF_LB_11_01</t>
  </si>
  <si>
    <t xml:space="preserve">SM_FF_LB_11_02</t>
  </si>
  <si>
    <t xml:space="preserve">SM_FF_LB_11_03</t>
  </si>
  <si>
    <t xml:space="preserve">SM_FF_LB_12_01</t>
  </si>
  <si>
    <t xml:space="preserve">SM_FF_LB_13_01</t>
  </si>
  <si>
    <t xml:space="preserve">SM_FF_LB_14_01</t>
  </si>
  <si>
    <t xml:space="preserve">SM_FF_LB_15_01</t>
  </si>
  <si>
    <t xml:space="preserve">SM_FF_LB_16_01</t>
  </si>
  <si>
    <t xml:space="preserve">SM_FF_LB_16_02</t>
  </si>
  <si>
    <t xml:space="preserve">SM_FF_LB_17_01</t>
  </si>
  <si>
    <t xml:space="preserve">SM_FF_LB_17_02</t>
  </si>
  <si>
    <t xml:space="preserve">SM_FF_LB_18_01</t>
  </si>
  <si>
    <t xml:space="preserve">SM_FF_LB_18_02</t>
  </si>
  <si>
    <t xml:space="preserve">SM_FF_LB_19_01</t>
  </si>
  <si>
    <t xml:space="preserve">SM_FF_LB_20_01</t>
  </si>
  <si>
    <t xml:space="preserve">SM_FF_LB_21_01</t>
  </si>
  <si>
    <t xml:space="preserve">SM_FF_LB_22_01</t>
  </si>
  <si>
    <t xml:space="preserve">SM_FF_SB_01_01</t>
  </si>
  <si>
    <t xml:space="preserve">SM_FF_SB_01_02</t>
  </si>
  <si>
    <t xml:space="preserve">SM_FF_SB_02_01</t>
  </si>
  <si>
    <t xml:space="preserve">SM_FF_SB_03_01</t>
  </si>
  <si>
    <t xml:space="preserve">SM_FF_SB_04_01</t>
  </si>
  <si>
    <t xml:space="preserve">SM_FF_SB_05_01</t>
  </si>
  <si>
    <t xml:space="preserve">SM_FF_SB_06_01</t>
  </si>
  <si>
    <t xml:space="preserve">SM_FF_SB_07_01</t>
  </si>
  <si>
    <t xml:space="preserve">SM_FF_SB_07_02</t>
  </si>
  <si>
    <t xml:space="preserve">SM_FF_SB_08_01</t>
  </si>
  <si>
    <t xml:space="preserve">SM_FF_SB_09_01</t>
  </si>
  <si>
    <t xml:space="preserve">SM_FF_SB_10_01</t>
  </si>
  <si>
    <t xml:space="preserve">SM_FF_SB_11_01</t>
  </si>
  <si>
    <t xml:space="preserve">SM_FF_SB_12_01</t>
  </si>
  <si>
    <t xml:space="preserve">SM_FF_SB_13_01</t>
  </si>
  <si>
    <t xml:space="preserve">SM_FF_ST_01_01</t>
  </si>
  <si>
    <t xml:space="preserve">SM_FF_ST_02_01</t>
  </si>
  <si>
    <t xml:space="preserve">SM_FF_ST_03_01</t>
  </si>
  <si>
    <t xml:space="preserve">SM_FF_ST_04_01</t>
  </si>
  <si>
    <t xml:space="preserve">SM_FF_ST_05_01</t>
  </si>
  <si>
    <t xml:space="preserve">SM_FF_ST_06_01</t>
  </si>
  <si>
    <t xml:space="preserve">SM_FF_ST_07_01</t>
  </si>
  <si>
    <t xml:space="preserve">SM_FF_ST_08_01</t>
  </si>
  <si>
    <t xml:space="preserve">SM_FF_ST_09_01</t>
  </si>
  <si>
    <t xml:space="preserve">SM_FF_ST_10_01</t>
  </si>
  <si>
    <t xml:space="preserve">SM_FF_LL_01_01</t>
  </si>
  <si>
    <t xml:space="preserve">SM_FF_LL_02_01</t>
  </si>
  <si>
    <t xml:space="preserve">SM_FF_LL_03_01</t>
  </si>
  <si>
    <t xml:space="preserve">SM_FF_LL_04_01</t>
  </si>
  <si>
    <t xml:space="preserve">SM_FF_LL_05_01</t>
  </si>
  <si>
    <t xml:space="preserve">SM_FF_LL_05_02</t>
  </si>
  <si>
    <t xml:space="preserve">SM_FF_LL_06_01</t>
  </si>
  <si>
    <t xml:space="preserve">SM_FF_LL_07_01</t>
  </si>
  <si>
    <t xml:space="preserve">SM_FF_LL_08_01</t>
  </si>
  <si>
    <t xml:space="preserve">SM_FF_LL_08_02</t>
  </si>
  <si>
    <t xml:space="preserve">Default_H_mm</t>
  </si>
  <si>
    <t xml:space="preserve">Default_Params_JSON</t>
  </si>
  <si>
    <t xml:space="preserve">Construction recipe</t>
  </si>
  <si>
    <t xml:space="preserve">Items using</t>
  </si>
  <si>
    <t xml:space="preserve">Upholstered platform base on a recessed plinth; mattress block with 40 mm rounded edges; duvet/bed-runner layer draped 120 mm over the sides; 2–4 pillows generated from PILLOW sub-family. Headboard wall is a separate finish family.</t>
  </si>
  <si>
    <t xml:space="preserve">Box carcass with one drawer (3 mm shadow gap), separate stone/wood top slab with 3 mm edge bevel; optional brass legs (Ø16 tapered) when leg=brass.</t>
  </si>
  <si>
    <t xml:space="preserve">Upholstered seat block with piping on top edges, crowned top (+8 mm), on bronze sled legs (25×10 flat bar).</t>
  </si>
  <si>
    <t xml:space="preserve">Lathe-swept barrel shell (260° wrap) solidified 90 mm, loose seat cushion, concealed swivel disc base; subdivision level 2.</t>
  </si>
  <si>
    <t xml:space="preserve">Club/lounge chair: sculpted shell or box body with rounded arms, loose seat cushion, 4 tapered bronze legs fitted into a sub-frame plate (no gaps).</t>
  </si>
  <si>
    <t xml:space="preserve">CHAIR_DESK</t>
  </si>
  <si>
    <t xml:space="preserve">gen_chair_desk</t>
  </si>
  <si>
    <t xml:space="preserve">{"seat_h": 460, "back": "curved", "leg": "bronze 4-leg"}</t>
  </si>
  <si>
    <t xml:space="preserve">Compact bouclé desk chair: curved upholstered back, seat pad, 4 slim bronze legs with plate joints.</t>
  </si>
  <si>
    <t xml:space="preserve">Same build as the GF sectional: recessed dark-bronze plinth, upholstered deck, frame with rolled top, crowned piped seat cushions, loose back cushions tilted 12°, 4 mm slot gaps, modifiers baked.</t>
  </si>
  <si>
    <t xml:space="preserve">{"top_t": 40, "base": "drum/pedestal", "edge": "eased 6"}</t>
  </si>
  <si>
    <t xml:space="preserve">Round top with eased edge on a drum or pedestal base; stone/travertine material with honed finish.</t>
  </si>
  <si>
    <t xml:space="preserve">Cylindrical walnut drum body (vertical grain), marble top slab 20 mm with 2 mm bevel.</t>
  </si>
  <si>
    <t xml:space="preserve">{"top_t": 40, "leg": "panel", "inlay": "brass 6 mm", "drawer_count": 0}</t>
  </si>
  <si>
    <t xml:space="preserve">Wall console: top slab + side panels or brass legs; optional solid-brass inlay strip routed 6 mm into the top; 20 mm wall stand-off.</t>
  </si>
  <si>
    <t xml:space="preserve">Low walnut shelving: carcass 25 mm, adjustable shelves, bronze-framed glass end panels, recessed plinth.</t>
  </si>
  <si>
    <t xml:space="preserve">Slim walnut media console (floating or on brass legs) with flush push-open fronts; TV generated as a black-glass slab recessed into the host panel.</t>
  </si>
  <si>
    <t xml:space="preserve">Writing desk: walnut/oak carcass, leather inset top (10 mm border), one pencil drawer, brass shoes on panel legs.</t>
  </si>
  <si>
    <t xml:space="preserve">Six-drawer walnut dresser with bronze pulls; separate oval brass-framed mirror wall-hung above (centre +1500).</t>
  </si>
  <si>
    <t xml:space="preserve">Full-height wardrobe run split into door modules (≈450 mm); bronze-tinted glass upper doors, solid walnut lower doors, leather-wrapped bar handles; interior generated (rails, drawer stack, shelves) for open-door shots.</t>
  </si>
  <si>
    <t xml:space="preserve">Drawer bank; top drawer as glass-top jewellery display with velvet-lined dividers.</t>
  </si>
  <si>
    <t xml:space="preserve">Open lit shoe tower with angled shelves and LED under each shelf.</t>
  </si>
  <si>
    <t xml:space="preserve">Cylindrical pouf with large bevel (60) and subdivision, bouclé normal detail.</t>
  </si>
  <si>
    <t xml:space="preserve">Stone planter (tapered cylinder) + branch generator (depth 4–5) with olive leaf cards; geometry trimmed 15 mm off walls / 2.70 m ceiling (same as GF QC).</t>
  </si>
  <si>
    <t xml:space="preserve">Honed stone trough (hollow, 30 mm walls) planted with trailing foliage cards.</t>
  </si>
  <si>
    <t xml:space="preserve">Wall-hung walnut vanity, 30 mm Calacatta Viola top with eased edge, undermount/vessel basin(s), brass PVD tap per basin.</t>
  </si>
  <si>
    <t xml:space="preserve">Wall-hung pan (generated from rounded profile), concealed cistern frame in a 150 mm ledge, brushed-brass flush plate.</t>
  </si>
  <si>
    <t xml:space="preserve">Walk-in shower zone: flush floor with linear drain, frameless low-iron glass panel(s) with brass clamps, ceiling rain head + handheld set.</t>
  </si>
  <si>
    <t xml:space="preserve">Teak slatted bench on stainless brackets.</t>
  </si>
  <si>
    <t xml:space="preserve">Freestanding oval tub from a lofted profile, 15 mm walls, matte stone-resin.</t>
  </si>
  <si>
    <t xml:space="preserve">Tall bathroom cabinet with a single lacquered door, shadow-gap handle.</t>
  </si>
  <si>
    <t xml:space="preserve">{"depth": 100}</t>
  </si>
  <si>
    <t xml:space="preserve">Wall recess (niche / mirror cabinet / towel shelf) cut as a Boolean into the host wall, lined with the listed material, LED strip optional.</t>
  </si>
  <si>
    <t xml:space="preserve">Teak lounge chair frame (slatted back) + thick outdoor cushions.</t>
  </si>
  <si>
    <t xml:space="preserve">Teak swing seat hung on brass chains from an A-frame (or ceiling hooks if structure allows).</t>
  </si>
  <si>
    <t xml:space="preserve">Fluted teak cabinet with stone top, outdoor-grade.</t>
  </si>
  <si>
    <t xml:space="preserve">Solid teak drum/side stool.</t>
  </si>
  <si>
    <t xml:space="preserve">Dog-leg stair continuing the GF stair: oak treads, stone nosing, black steel rod balustrade, recessed LED handrail.</t>
  </si>
  <si>
    <t xml:space="preserve">Preserved-moss panel in a bronze frame.</t>
  </si>
  <si>
    <t xml:space="preserve">{}</t>
  </si>
  <si>
    <t xml:space="preserve">Lift door fascia / indicator / surround applied to the lift opening.</t>
  </si>
  <si>
    <t xml:space="preserve">Framed artwork: walnut frame, canvas plane with image texture slot; wall stand-off 2 mm.</t>
  </si>
  <si>
    <t xml:space="preserve">{"shape": "organic", "frame": "brass 8", "backlight": false, "centre_h": 1500}</t>
  </si>
  <si>
    <t xml:space="preserve">Mirror plane with brass/bronze frame; shape: round / oval / organic spline / full-length.</t>
  </si>
  <si>
    <t xml:space="preserve">{"type": "auto", "scatter_on": "host top"}</t>
  </si>
  <si>
    <t xml:space="preserve">Small décor generated from the accessory kit (vase, tray, books, bowl, candles, diffuser, towels…) and dropped onto the host surface at the marked point.</t>
  </si>
  <si>
    <t xml:space="preserve">{"insert": "auto"}</t>
  </si>
  <si>
    <t xml:space="preserve">Parametric insert built into its host joinery (wardrobe / drawer bank / shelf unit): drawers, glass-top trays, pull-outs, hamper, display shelves, handles or door type — sized from the host module.</t>
  </si>
  <si>
    <t xml:space="preserve">{"pot_d": 300, "species": "palm / trailing"}</t>
  </si>
  <si>
    <t xml:space="preserve">Potted plant from leaf-card kit.</t>
  </si>
  <si>
    <t xml:space="preserve">Floor lantern with glass panes and candle light.</t>
  </si>
  <si>
    <t xml:space="preserve">{"pattern": "auto", "grout": 2}</t>
  </si>
  <si>
    <t xml:space="preserve">Room-polygon floor finish (herringbone / large-format stone / deck boards) with pattern-aware UVs.</t>
  </si>
  <si>
    <t xml:space="preserve">{"apply_to": "all walls"}</t>
  </si>
  <si>
    <t xml:space="preserve">Applies a wall material (paint / plaster / tile / cladding) to all wall faces of the room.</t>
  </si>
  <si>
    <t xml:space="preserve">Ogee picture-frame moulding system (same profile as GF dining) laid out per wall face with skirting, dado and cornice.</t>
  </si>
  <si>
    <t xml:space="preserve">{"type": "slat/fluted/upholstered/marble", "module": 60, "depth": 40}</t>
  </si>
  <si>
    <t xml:space="preserve">Feature wall panel: walnut slats (module 60 / gap 15), fluted walnut, upholstered fabric panels or marble slabs with bronze trims.</t>
  </si>
  <si>
    <t xml:space="preserve">Stepped tray ceiling with cornice and concealed LED cove (2700 K).</t>
  </si>
  <si>
    <t xml:space="preserve">Frameless glass balustrade with bronze cap rail/handrail and clamps.</t>
  </si>
  <si>
    <t xml:space="preserve">Metal/stone strip inlaid flush in the floor or nosing at an edge.</t>
  </si>
  <si>
    <t xml:space="preserve">Timber slat soffit under the balcony ceiling.</t>
  </si>
  <si>
    <t xml:space="preserve">Scattered pebble ring around planters.</t>
  </si>
  <si>
    <t xml:space="preserve">{"style": "sculptural brass", "drop_to_bottom_mm": 2200, "lumens": 3000}</t>
  </si>
  <si>
    <t xml:space="preserve">Ceiling-hung fixture with canopy, rod/cables and emissive parts + UE point/spot lights.</t>
  </si>
  <si>
    <t xml:space="preserve">Bedside / feature pendant with canopy, cable and shade.</t>
  </si>
  <si>
    <t xml:space="preserve">{"style": "disc/globe/brass", "centre_h": 1600}</t>
  </si>
  <si>
    <t xml:space="preserve">Wall sconce with back plate, emissive diffuser + UE light.</t>
  </si>
  <si>
    <t xml:space="preserve">Brass floor lamp: weighted base, stem, conical shade.</t>
  </si>
  <si>
    <t xml:space="preserve">Recessed linear LED profile (rect light in UE).</t>
  </si>
  <si>
    <t xml:space="preserve">Concealed LED strip along the given line (rect light, emissive strip).</t>
  </si>
  <si>
    <t xml:space="preserve">{"beam_deg": 40}</t>
  </si>
  <si>
    <t xml:space="preserve">Recessed downlight / uplight / picture light / niche light.</t>
  </si>
  <si>
    <t xml:space="preserve">Designer ceiling fan, bronze body + walnut blades (static mesh, optional rotation).</t>
  </si>
  <si>
    <t xml:space="preserve">Rug slab with bevelled edge; shag variant uses displaced grid; hand-knotted pattern texture slot.</t>
  </si>
  <si>
    <t xml:space="preserve">Curtain surface swept along the track with sine folds; sheer = translucent two-sided material.</t>
  </si>
  <si>
    <t xml:space="preserve">{"items": "auto"}</t>
  </si>
  <si>
    <t xml:space="preserve">Cushions / throws / bed runner / towels / bath mat generated from the soft-furnishing kit onto the host.</t>
  </si>
  <si>
    <t xml:space="preserve">Total items mapped to a family</t>
  </si>
  <si>
    <t xml:space="preserve">Material</t>
  </si>
  <si>
    <t xml:space="preserve">Base colour (hex)</t>
  </si>
  <si>
    <t xml:space="preserve">Swatch</t>
  </si>
  <si>
    <t xml:space="preserve">Roughness</t>
  </si>
  <si>
    <t xml:space="preserve">Metallic</t>
  </si>
  <si>
    <t xml:space="preserve">Notes / texture set</t>
  </si>
  <si>
    <t xml:space="preserve">Used by items</t>
  </si>
  <si>
    <t xml:space="preserve">#5c3b26</t>
  </si>
  <si>
    <t xml:space="preserve">Walnut veneer, hand-oiled; PBR set: BaseColor/Normal/Roughness, grain direction from object axis</t>
  </si>
  <si>
    <t xml:space="preserve">#c3a27a</t>
  </si>
  <si>
    <t xml:space="preserve">Light oak veneer / engineered oak</t>
  </si>
  <si>
    <t xml:space="preserve">M_Oak_Herringbone</t>
  </si>
  <si>
    <t xml:space="preserve">#b48e63</t>
  </si>
  <si>
    <t xml:space="preserve">Engineered herringbone oak 600×90, hand-oiled</t>
  </si>
  <si>
    <t xml:space="preserve">#9a6a40</t>
  </si>
  <si>
    <t xml:space="preserve">Teak / ipe outdoor grade</t>
  </si>
  <si>
    <t xml:space="preserve">#e7ddcf</t>
  </si>
  <si>
    <t xml:space="preserve">Crushed velvet, sheen 1.0 — same as GF sectional</t>
  </si>
  <si>
    <t xml:space="preserve">#b5a48f</t>
  </si>
  <si>
    <t xml:space="preserve">Velvet benches / taupe headboards</t>
  </si>
  <si>
    <t xml:space="preserve">#cfc6b8</t>
  </si>
  <si>
    <t xml:space="preserve">Bedroom-2 headboard</t>
  </si>
  <si>
    <t xml:space="preserve">M_Velvet_Charcoal</t>
  </si>
  <si>
    <t xml:space="preserve">#2b2b2e</t>
  </si>
  <si>
    <t xml:space="preserve">Accent cushions</t>
  </si>
  <si>
    <t xml:space="preserve">#d9d3c9</t>
  </si>
  <si>
    <t xml:space="preserve">Bouclé loop normal + sheen</t>
  </si>
  <si>
    <t xml:space="preserve">M_Boucle_Olive</t>
  </si>
  <si>
    <t xml:space="preserve">#7f8a62</t>
  </si>
  <si>
    <t xml:space="preserve">Olive bouclé</t>
  </si>
  <si>
    <t xml:space="preserve">M_Marble_GreenVein</t>
  </si>
  <si>
    <t xml:space="preserve">#3f5a45</t>
  </si>
  <si>
    <t xml:space="preserve">Green marble (master headboard flanks)</t>
  </si>
  <si>
    <t xml:space="preserve">#e7dce3</t>
  </si>
  <si>
    <t xml:space="preserve">Calacatta Viola (bath tops, feature walls, niches)</t>
  </si>
  <si>
    <t xml:space="preserve">M_Marble_Calacatta</t>
  </si>
  <si>
    <t xml:space="preserve">#eceae6</t>
  </si>
  <si>
    <t xml:space="preserve">Side-table tops</t>
  </si>
  <si>
    <t xml:space="preserve">#d6c7ad</t>
  </si>
  <si>
    <t xml:space="preserve">Honed travertine (coffee table, cladding, lift surround)</t>
  </si>
  <si>
    <t xml:space="preserve">M_Stone_LightHoned</t>
  </si>
  <si>
    <t xml:space="preserve">#d6cfc3</t>
  </si>
  <si>
    <t xml:space="preserve">Italian light stone floor 1200×600</t>
  </si>
  <si>
    <t xml:space="preserve">#9e9a94</t>
  </si>
  <si>
    <t xml:space="preserve">Bathroom floors</t>
  </si>
  <si>
    <t xml:space="preserve">#f1efea</t>
  </si>
  <si>
    <t xml:space="preserve">Fluted wall tile</t>
  </si>
  <si>
    <t xml:space="preserve">#e9e4dc</t>
  </si>
  <si>
    <t xml:space="preserve">Ogee panels / walls</t>
  </si>
  <si>
    <t xml:space="preserve">#dcd2c3</t>
  </si>
  <si>
    <t xml:space="preserve">Balcony walls</t>
  </si>
  <si>
    <t xml:space="preserve">#c49a45</t>
  </si>
  <si>
    <t xml:space="preserve">Brushed brass PVD fittings, inlays, frames</t>
  </si>
  <si>
    <t xml:space="preserve">#4b3626</t>
  </si>
  <si>
    <t xml:space="preserve">Dark bronze trims, glazing caps, legs</t>
  </si>
  <si>
    <t xml:space="preserve">M_Steel_Black</t>
  </si>
  <si>
    <t xml:space="preserve">#1e1e1e</t>
  </si>
  <si>
    <t xml:space="preserve">Stair rods, lanterns</t>
  </si>
  <si>
    <t xml:space="preserve">#e6f4f6</t>
  </si>
  <si>
    <t xml:space="preserve">Transmission 1.0 — balustrade, shower glass</t>
  </si>
  <si>
    <t xml:space="preserve">M_Glass_BronzeTint</t>
  </si>
  <si>
    <t xml:space="preserve">#6d5a46</t>
  </si>
  <si>
    <t xml:space="preserve">Wardrobe upper doors (translucent)</t>
  </si>
  <si>
    <t xml:space="preserve">#6a3f24</t>
  </si>
  <si>
    <t xml:space="preserve">Desk tops, wardrobe handles</t>
  </si>
  <si>
    <t xml:space="preserve">#7b4a55</t>
  </si>
  <si>
    <t xml:space="preserve">Bathroom tall cabinet</t>
  </si>
  <si>
    <t xml:space="preserve">#efe7da</t>
  </si>
  <si>
    <t xml:space="preserve">Pendant shades (emissive inner)</t>
  </si>
  <si>
    <t xml:space="preserve">#e6ddcf</t>
  </si>
  <si>
    <t xml:space="preserve">Sheers (two-sided, translucent) / drapes</t>
  </si>
  <si>
    <t xml:space="preserve">#d9d0c3</t>
  </si>
  <si>
    <t xml:space="preserve">Hand-knotted rugs (pattern texture slot)</t>
  </si>
  <si>
    <t xml:space="preserve">#8d8a85</t>
  </si>
  <si>
    <t xml:space="preserve">Vases, pots, accessories</t>
  </si>
  <si>
    <t xml:space="preserve">#f3f1ec</t>
  </si>
  <si>
    <t xml:space="preserve">Freestanding tub, WC pans</t>
  </si>
  <si>
    <t xml:space="preserve">#5f6b47</t>
  </si>
  <si>
    <t xml:space="preserve">Leaf cards (masked, two-sided)</t>
  </si>
  <si>
    <t xml:space="preserve">M_Fabric_Sunbrella</t>
  </si>
  <si>
    <t xml:space="preserve">#d8d2c6</t>
  </si>
  <si>
    <t xml:space="preserve">Outdoor solution-dyed cushion fabric</t>
  </si>
  <si>
    <t xml:space="preserve">M_Moss_Preserved</t>
  </si>
  <si>
    <t xml:space="preserve">#5f7a5a</t>
  </si>
  <si>
    <t xml:space="preserve">Moss panel</t>
  </si>
  <si>
    <t xml:space="preserve">#</t>
  </si>
  <si>
    <t xml:space="preserve">Mesh family</t>
  </si>
  <si>
    <t xml:space="preserve">Prompt (paste into the Blender-connected Claude console)</t>
  </si>
  <si>
    <t xml:space="preserve">TASK: Generate the bed platform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BED_PLATFORM
Write a function build_bed_platform(**params) that returns the asset root.
Geometry recipe: Platform base: rounded box (L×W×base_h) with 15 mm edge radius, set back base_inset from a recessed plinth (60 mm high, inset 60). Mattress: rounded box W−80 × L−80 × mattress_h, 40 mm corner radius, on the base. Duvet: thin surface (20 mm) over the mattress top, draped 120 mm down the sides and foot with soft folds (low-frequency displacement 4–6 mm), turned down 350 mm at the head. Pillows: 2–4 pillow volumes (pillow_w 700 × 450 × 160, crowned) leaning 15° at the head. Head is at +Y, foot (front) at −Y. Headboard walls are separate items.
Default parameters (mm): {"mattress_h": 250, "base_h": 200, "base_inset": 60, "leg": "recessed plinth 60", "bevel": 15, "duvet_drape": 120, "H": 450}
Host type: floor.
ITEMS
1. MB-01 — Master bedroom — King bed 1829×1981 with full-height upholstered headboard wall
   size L×W×H: 1980 × 1829 × 450 mm  |  parameters: {"mattress_h": 250, "base_h": 200, "base_inset": 60, "leg": "recessed plinth 60", "bevel": 15, "duvet_drape": 120}
   placements: #01 X 2950 Y 5784 Z FFL+0  |  front faces: W → rot_z 270°
2. B1-01 — Bedroom-1 — King bed 1829×1981 with walnut-slat headboard and taupe fabric panels
   size L×W×H: 1981 × 1829 × 450 mm  |  parameters: {"mattress_h": 250, "base_h": 200, "base_inset": 60, "leg": "recessed plinth 60", "bevel": 15, "duvet_drape": 120}
   placements: #01 X 9348 Y 1320 Z FFL+0  |  front faces: N → rot_z 180°
3. B2-01 — Bedroom-2 (+ vestibule) — Queen bed 1524×1981 with greige velvet upholstered headboard and bronze trim
   size L×W×H: 1981 × 1524 × 450 mm  |  parameters: {"mattress_h": 250, "base_h": 200, "base_inset": 60, "leg": "recessed plinth 60", "bevel": 15, "duvet_drape": 120}
   placements: #01 X 9410 Y 9598 Z FFL+0  |  front faces: N → rot_z 180°
Build the generator, test it on the first item, then build and place all items in order. Ask me only if a placement point clearly falls outside the building.</t>
  </si>
  <si>
    <t xml:space="preserve">TASK: Generate the side table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SIDE_TABLE
Write a function build_side_table(**params) that returns the asset root.
Geometry recipe: Carcass box L×W×(H−top_t) with a 3 mm shadow-gap drawer front (or door) on the −Y face; separate top slab top_t with 3 mm bevel, flush or 10 mm overhang. leg='brass': replace carcass with a top + 4 tapered round legs Ø16→Ø10 inset 40.
Default parameters (mm): {"top_t": 25, "carcass": "box", "drawer_count": 1, "leg": "none", "top_material": "marble", "H": 550}
Host type: floor.
ITEMS
1. MB-02 — Master bedroom — Walnut side tables ×2 with marble tops
   size L×W×H: 450 × 450 × 550 mm  |  parameters: {"top_t": 25, "drawer_count": 1, "leg": "none"}
   placements: #01 X 3715 Y 4594 Z FFL+0; #02 X 3715 Y 6973 Z FFL+0  |  front faces: any → rot_z 0°
2. B1-02 — Bedroom-1 — Walnut side tables ×2 with marble tops
   size L×W×H: 450 × 450 × 550 mm  |  parameters: {"top_t": 25, "drawer_count": 1, "leg": "none"}
   placements: #01 X 8158 Y 555 Z FFL+0; #02 X 10537 Y 555 Z FFL+0  |  front faces: any → rot_z 0°
3. B2-02 — Bedroom-2 (+ vestibule) — Oak side tables ×2 on brass legs
   size L×W×H: 450 × 450 × 550 mm  |  parameters: {"top_t": 25, "drawer_count": 1, "leg": "default"}
   placements: #01 X 8373 Y 8832 Z FFL+0; #02 X 10447 Y 8832 Z FFL+0  |  front faces: any → rot_z 0°
Build the generator, test it on the first item, then build and place all items in order. Ask me only if a placement point clearly falls outside the building.</t>
  </si>
  <si>
    <t xml:space="preserve">TASK: Generate the bench upholstered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BENCH_UPHOLSTERED
Write a function build_bench_upholstered(**params) that returns the asset root.
Geometry recipe: Upholstered seat block L×W×seat_t, 20 mm rounded edges, crowned top (+8 mm) and slight side bulge (3 mm); piping tube Ø6 along the top perimeter; two sled legs from 25×10 flat bar (U-shape) under the block, leg_h high, inset 60 from the ends.
Default parameters (mm): {"seat_t": 120, "leg_h": 180, "leg": "bronze sled", "piping": true, "H": 450}
Host type: floor.
ITEMS
1. MB-04 — Master bedroom — Velvet bench at the bed foot
   size L×W×H: 1300 × 450 × 450 mm  |  parameters: {"seat_t": 120, "leg_h": 180, "leg": "sled", "piping": true}
   placements: #01 X 1685 Y 5783 Z FFL+0  |  front faces: any → rot_z 0°
2. B1-05 — Bedroom-1 — Velvet bench at the bed foot
   size L×W×H: 1300 × 450 × 450 mm  |  parameters: {"seat_t": 120, "leg_h": 180, "leg": "sled", "piping": true}
   placements: #01 X 9348 Y 2586 Z FFL+0  |  front faces: any → rot_z 0°
3. B2-06 — Bedroom-2 (+ vestibule) — Velvet bench at the bed foot
   size L×W×H: 1200 × 400 × 450 mm  |  parameters: {"seat_t": 120, "leg_h": 180, "leg": "sled", "piping": true}
   placements: #01 X 9410 Y 10838 Z FFL+0  |  front faces: any → rot_z 0°
Build the generator, test it on the first item, then build and place all items in order. Ask me only if a placement point clearly falls outside the building.</t>
  </si>
  <si>
    <t xml:space="preserve">TASK: Generate the chair barrel swivel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CHAIR_BARREL_SWIVEL
Write a function build_chair_barrel_swivel(**params) that returns the asset root.
Geometry recipe: Barrel shell: sweep a profile (seat 420 → back 760, 90 mm thick, rounded top) around a 260° arc opening to −Y; solid closed shell. Loose seat cushion (Ø fit, 120 thick, crowned 15). Base: concealed disc Ø450 × 60 under a 20 mm recess so the shell floats. Subdivide 2 and bake.
Default parameters (mm): {"seat_h": 420, "back_h": 760, "shell_t": 90, "base": "swivel disc Ø450", "channels": 0, "H": 760}
Host type: floor.
ITEMS
1. UL-01 — Upper lounge — Pair of bouclé swivel barrel chairs
   size L×W×H: 820 × 820 × 760 mm  |  parameters: {"seat_h": 420, "back_h": 760, "shell_t": 90, "base": "swivel disc Ø450", "channels": 0}
   placements: #01 X 7550 Y 5750 Z FFL+0; #02 X 7550 Y 6850 Z FFL+0  |  front faces: W → rot_z 270°
Build the generator, test it on the first item, then build and place all items in order. Ask me only if a placement point clearly falls outside the building.</t>
  </si>
  <si>
    <t xml:space="preserve">TASK: Generate the chair lounge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CHAIR_LOUNGE
Write a function build_chair_lounge(**params) that returns the asset root.
Geometry recipe: Sculpted shell or box body with rounded arms (arm top 580–600), loose seat cushion at seat_h, back to back_h; 4 tapered legs Ø35→Ø20, leg_h, splayed 6°, fitted into a sub-frame plate that is embedded 4 mm into the body (no gaps); or a 60 mm plinth if leg='plinth'.
Default parameters (mm): {"seat_h": 400, "back_h": 800, "arm": "rounded", "leg": "tapered bronze", "leg_h": 150, "H": 800}
Host type: floor.
ITEMS
1. MB-03 — Master bedroom — 2 olive bouclé lounge chairs with bronze side table
   size L×W×H: 760 × 760 × 800 mm  |  parameters: {"seat_h": 400, "back_h": 800, "arm": "rounded", "leg": "tapered", "leg_h": 150}
   placements: #01 X 1100 Y 7650 Z FFL+0; #02 X 2150 Y 7650 Z FFL+0; #03 X 1625 Y 7850 Z FFL+0 (footprint 380×380)  |  front faces: S → rot_z 0°
   fit note: by the balcony glazing; access via the right-hand sliding panel
2. B1-04 — Bedroom-1 — Velvet corner lounge chair with brass reading lamp
   size L×W×H: 760 × 760 × 800 mm  |  parameters: {"seat_h": 400, "back_h": 800, "arm": "rounded", "leg": "tapered", "leg_h": 150}
   placements: #01 X 7100 Y 700 Z FFL+0  |  front faces: NE → rot_z 135°
3. B2-05 — Bedroom-2 (+ vestibule) — Olive bouclé lounge chair by the balcony door
   size L×W×H: 750 × 750 × 800 mm  |  parameters: {"seat_h": 400, "back_h": 800, "arm": "rounded", "leg": "tapered", "leg_h": 150}
   placements: #01 X 11050 Y 10475 Z FFL+0  |  front faces: W → rot_z 270°
Build the generator, test it on the first item, then build and place all items in order. Ask me only if a placement point clearly falls outside the building.</t>
  </si>
  <si>
    <t xml:space="preserve">TASK: Generate the sofa loveseat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SOFA_LOVESEAT
Write a function build_sofa_loveseat(**params) that returns the asset root.
Geometry recipe: Recessed plinth (60 high, inset plinth_inset); upholstered deck L×W×200 with rolled edges; back frame (180 deep, to 700) and low arms (arm_w, to 570) as rounded boxes; seat_cushions crowned (+crown) with side bulge and piping tubes Ø5 top and bottom; back_cushions loose, tilted back_tilt_deg; every part fitted in its own slot with gap mm between neighbours, then smoothing/creases baked (no modifiers left).
Default parameters (mm): {"seat_h": 440, "seat_cushions": 2, "back_cushions": 2, "arm_w": 180, "plinth_inset": 60, "piping": true, "crown": 22, "back_tilt_deg": 12, "gap": 4, "H": 780}
Host type: floor.
ITEMS
1. UL-05 — Upper lounge — Cream velvet loveseat 1600×850
   size L×W×H: 1600 × 850 × 780 mm  |  parameters: {"seat_h": 440, "seat_cushions": 2, "back_cushions": 2, "arm_w": 180, "plinth_inset": 60, "piping": true, "crown": 22, "back_tilt_deg": 12, "gap": 4}
   placements: #01 X 5575 Y 6300 Z FFL+0  |  front faces: E → rot_z 90°
   fit note: faces the void (keeps the vestibule door clear)
Build the generator, test it on the first item, then build and place all items in order. Ask me only if a placement point clearly falls outside the building.</t>
  </si>
  <si>
    <t xml:space="preserve">TASK: Generate the table round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TABLE_ROUND
Write a function build_table_round(**params) that returns the asset root.
Geometry recipe: Round top Ø=L, top_t thick, 6 mm eased edge; base per 'base': drum = cylinder Ø0.9·L to the underside; pedestal = column Ø140 on a disc plinth Ø0.6·L × 20.
Default parameters (mm): {"top_t": 40, "base": "drum/pedestal", "edge": "eased 6", "H": 420}
Host type: floor.
ITEMS
1. UL-02 — Upper lounge — Round travertine coffee table Ø700
   size L×W×H: 700 × 700 × 400 mm  |  parameters: {"top_t": 40, "base": "drum", "edge": "eased 6"}
   placements: #01 X 6750 Y 6300 Z FFL+0  |  front faces: any → rot_z 0°
2. LB-02 — Large balcony — Round stone table
   size L×W×H: 650 × 650 × 450 mm  |  parameters: {"top_t": 40, "base": "pedestal", "edge": "eased 6"}
   placements: #01 X 2100 Y 9900 Z FFL+0  |  front faces: any → rot_z 0°
3. SB-02 — Small balcony — Side table Ø400 with stone top
   size L×W×H: 400 × 400 × 450 mm  |  parameters: {"top_t": 40, "base": "default", "edge": "eased 6"}
   placements: #01 X 12200 Y 10320 Z FFL+0  |  front faces: any → rot_z 0°
Build the generator, test it on the first item, then build and place all items in order. Ask me only if a placement point clearly falls outside the building.</t>
  </si>
  <si>
    <t xml:space="preserve">TASK: Generate the table drum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TABLE_DRUM
Write a function build_table_drum(**params) that returns the asset root.
Geometry recipe: Cylinder body Ø=L, H−top_t high (hollow shell 3 mm optional), top slab Ø=L × top_t with 2 mm bevel.
Default parameters (mm): {"top_t": 20, "body": "walnut drum", "top_inset": 0, "H": 500}
Host type: floor.
ITEMS
1. UL-06 — Upper lounge — Walnut drum side tables ×2 Ø450 with marble tops
   size L×W×H: 450 × 450 × 500 mm  |  parameters: {"top_t": 20, "body": "drum", "top_inset": 0}
   placements: #01 X 5575 Y 5230 Z FFL+0; #02 X 5575 Y 7370 Z FFL+0  |  front faces: any → rot_z 0°
Build the generator, test it on the first item, then build and place all items in order. Ask me only if a placement point clearly falls outside the building.</t>
  </si>
  <si>
    <t xml:space="preserve">TASK: Generate the console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CONSOLE
Write a function build_console(**params) that returns the asset root.
Geometry recipe: Top slab L×W×top_t; two side panels (25 thick) or 4 slim legs; optional inlay = 6 mm wide groove strip flush in the top along its length (separate object 'inlay'); back 20 mm off the wall.
Default parameters (mm): {"top_t": 40, "leg": "panel", "inlay": "brass 6 mm", "drawer_count": 0, "H": 800}
Host type: floor.
ITEMS
1. UL-03 — Upper lounge — Walnut console 1500×350 with solid-brass inlay
   size L×W×H: 1500 × 350 × 800 mm  |  parameters: {"top_t": 40, "leg": "panel", "inlay": "solid", "drawer_count": 0}
   placements: #01 X 8470 Y 8102 Z FFL+0  |  front faces: any → rot_z 0°
2. LL-01 — Lift lobby (in upper lounge) — Slim walnut console 800×300 with brass legs beside the lift door
   size L×W×H: 800 × 300 × 800 mm  |  parameters: {"top_t": 40, "leg": "legs", "inlay": "6 mm", "drawer_count": 0}
   placements: #01 X 6020 Y 8127 Z FFL+0  |  front faces: any → rot_z 0°
   fit note: in the 930 mm of wall between the lift and the vestibule door
Build the generator, test it on the first item, then build and place all items in order. Ask me only if a placement point clearly falls outside the building.</t>
  </si>
  <si>
    <t xml:space="preserve">TASK: Generate the bookshelf low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BOOKSHELF_LOW
Write a function build_bookshelf_low(**params) that returns the asset root.
Geometry recipe: Open carcass L×W×H, 25 mm panels, recessed plinth 60; shelves every ~300 mm; bays ≈ bay_w with vertical dividers; end panels as a 20 mm frame with a 6 mm glass pane inset (separate part).
Default parameters (mm): {"shelves": 2, "bay_w": 480, "end_panels": "bronze-framed glass", "plinth": 60, "H": 900}
Host type: floor.
ITEMS
1. UL-04 — Upper lounge — Low walnut bookshelf 1800×350 with bronze-framed glass ends
   size L×W×H: 1400 × 350 × 900 mm  |  parameters: {"shelves": 2, "bay_w": 480, "end_panels": "framed glass", "plinth": 60}
   placements: #01 X 8540 Y 4734 Z FFL+0  |  front faces: any → rot_z 0°
   fit note: fitted at 1450 — full length of the solid wall
Build the generator, test it on the first item, then build and place all items in order. Ask me only if a placement point clearly falls outside the building.</t>
  </si>
  <si>
    <t xml:space="preserve">TASK: Generate the media console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MEDIA_CONSOLE
Write a function build_media_console(**params) that returns the asset root.
Geometry recipe: Low cabinet L×W×H with flush door fronts (3 mm gaps); floating = 150 mm off the floor on a recessed back rail; TV = black slab 16:9 (tv_size_in diagonal) × 30 mm, recessed tv_recess_depth into the host panel (separate object 'tv').
Default parameters (mm): {"type": "floating", "fronts": "flush", "tv_size_in": 75, "tv_recess_depth": 60, "H": 450}
Host type: floor.
ITEMS
1. MB-05 — Master bedroom — TV recessed in the fluted walnut panel above a walnut console 1600×400
   size L×W×H: 1600 × 400 × 500 mm  |  parameters: {"type": "floating", "fronts": "flush", "tv_size_in": 75, "tv_recess_depth": 60}
   placements: #01 X 430 Y 5783 Z FFL+0  |  front faces: E → rot_z 90°
2. B1-06 — Bedroom-1 — TV set into the walnut slat wall above a slim console
   size L×W×H: 1500 × 350 × 450 mm  |  parameters: {"type": "floating", "fronts": "flush", "tv_size_in": 65, "tv_recess_depth": 60}
   placements: #01 X 9350 Y 4170 Z FFL+0  |  front faces: S → rot_z 0°
Build the generator, test it on the first item, then build and place all items in order. Ask me only if a placement point clearly falls outside the building.</t>
  </si>
  <si>
    <t xml:space="preserve">TASK: Generate the desk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DESK
Write a function build_desk(**params) that returns the asset root.
Geometry recipe: Top L×W×top_t with a 10 mm border around a 3 mm inset panel (leather inset as its own face set); carcass with one pencil drawer (3 mm gaps); two panel legs 30 thick with 20 mm metal shoes.
Default parameters (mm): {"top_t": 30, "leather_inset": true, "drawer_count": 1, "leg": "panel + brass shoe", "H": 750}
Host type: floor.
ITEMS
1. MB-06 — Master bedroom — Leather-top walnut writing desk 1000×500 with bouclé chair
   size L×W×H: 1000 × 500 × 750 mm  |  parameters: {"top_t": 30, "leather_inset": true, "drawer_count": 1, "leg": "panel + shoe"}
   placements: #01 X 2800 Y 4045 Z FFL+0  |  front faces: S → rot_z 0°
   fit note: chair clear of the bed and WIW door swing
2. B2-04 — Bedroom-2 (+ vestibule) — Leather-top oak writing desk with bouclé chair
   size L×W×H: 1100 × 500 × 750 mm  |  parameters: {"top_t": 30, "leather_inset": true, "drawer_count": 1, "leg": "panel + shoe"}
   placements: #01 X 7885 Y 10850 Z FFL+0  |  front faces: E → rot_z 90°
   fit note: with bouclé chair (circle)
Build the generator, test it on the first item, then build and place all items in order. Ask me only if a placement point clearly falls outside the building.</t>
  </si>
  <si>
    <t xml:space="preserve">TASK: Generate the dresser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DRESSER
Write a function build_dresser(**params) that returns the asset root.
Geometry recipe: Carcass L×W×H on a recessed plinth, 6 drawer fronts (2 columns × 3) with 3 mm gaps and bar pulls 160 long; separate oval mirror 600×900 with a Ø20 tube frame, hung centre +1500 above the dresser.
Default parameters (mm): {"drawers": 6, "mirror": "oval brass 600×900", "handles": "bronze pulls", "H": 800}
Host type: floor.
ITEMS
1. B1-03 — Bedroom-1 — Walnut dresser 1200×450 with oval brass mirror
   size L×W×H: 1200 × 450 × 800 mm  |  parameters: {"drawers": 6, "mirror": "oval 600×900", "handles": "pulls"}
   placements: #01 X 6835 Y 1900 Z FFL+0  |  front faces: E → rot_z 90°
Build the generator, test it on the first item, then build and place all items in order. Ask me only if a placement point clearly falls outside the building.</t>
  </si>
  <si>
    <t xml:space="preserve">TASK: Generate the wardrobe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WARDROBE
Write a function build_wardrobe(**params) that returns the asset root.
Geometry recipe: Run of door modules (≈door_w) along the length, depth 600, height H; upper third doors as 6 mm glass panels in 20 mm frames, lower doors solid; vertical bar handles 300 long; interior (only if doors are modelled open): rails, drawer stack, shelves. L-shape = two runs meeting at the corner.
Default parameters (mm): {"depth": 600, "door_w": 450, "upper_glass": "bronze-tinted", "handles": "leather-wrapped", "interior": "hanging+drawers+shelves", "led": "auto-on", "H": 2700}
Host type: floor.
ITEMS
1. MW-01 — Master walk-in wardrobe — Walnut wardrobes on both long walls with bronze-tinted glass upper doors, 830 mm aisle
   size L×W×H: 3387 × 600 × 2700 mm  |  parameters: {"depth": 600, "door_w": 450, "upper_glass": "tinted", "handles": "wrapped", "interior": "hanging+drawers+shelves", "led": "auto-on"}
   placements: #01 X 530 Y 1994 Z FFL+0; #02 X 1964 Y 2774 Z FFL+0 (footprint 600×253)  |  front faces: any → rot_z 0°
   fit note: right wall limited by the toilet opening and the door swing
2. BW-01 — Bedroom-1 walk-in wardrobe — L-shaped walnut wardrobe (600 deep) with hanging, drawers and shoe shelves
   size L×W×H: 2035 × 600 × 2700 mm  |  parameters: {"depth": 600, "door_w": 450, "upper_glass": "tinted", "handles": "wrapped", "interior": "hanging+drawers+shelves", "led": "auto-on", "plan": "L-shape"}
   placements: #01 X 11942 Y 4000 Z FFL+0; #02 X 12660 Y 3190 Z FFL+0 (footprint 1020×600)  |  front faces: any → rot_z 0°
3. B2-03 — Bedroom-2 (+ vestibule) — Oak-veneer wardrobe with bronze handles (as drawn) and tall shelf unit
   size L×W×H: 2800 × 600 × 2700 mm  |  parameters: {"depth": 600, "door_w": 450, "upper_glass": "tinted", "handles": "wrapped", "interior": "hanging+drawers+shelves", "led": "auto-on", "note": "tall shelf unit (2nd instance)"}
   placements: #01 X 9100 Y 11940 Z FFL+0; #02 X 11321 Y 9300 Z FFL+0 (footprint 1400×400)  |  front faces: any → rot_z 0°
Build the generator, test it on the first item, then build and place all items in order. Ask me only if a placement point clearly falls outside the building.</t>
  </si>
  <si>
    <t xml:space="preserve">TASK: Generate the drawer bank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DRAWER_BANK
Write a function build_drawer_bank(**params) that returns the asset root.
Geometry recipe: Carcass L×W×H with 5 drawer fronts (3 mm gaps); top drawer is a 20 mm frame with a glass top and a felt-lined tray with dividers (3×1).
Default parameters (mm): {"drawers": 5, "glass_top_jewellery": true, "pulls": "bronze", "H": 900}
Host type: floor.
ITEMS
1. MW-02 — Master walk-in wardrobe — Drawer bank with bronze pulls
   size L×W×H: 600 × 550 × 900 mm  |  parameters: {"drawers": 5, "glass_top_jewellery": true, "pulls": "default"}
   placements: #01 X 1964 Y 975 Z FFL+0  |  front faces: any → rot_z 0°
Build the generator, test it on the first item, then build and place all items in order. Ask me only if a placement point clearly falls outside the building.</t>
  </si>
  <si>
    <t xml:space="preserve">TASK: Generate the shoe tower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SHOE_TOWER
Write a function build_shoe_tower(**params) that returns the asset root.
Geometry recipe: Open tower L×W×H, 20 mm sides, 9 shelves angled 15° with a 15 mm toe rail; thin LED profile under each shelf (separate part).
Default parameters (mm): {"shelves": 9, "shelf_led": true, "H": 2100}
Host type: floor.
ITEMS
1. MW-04 — Master walk-in wardrobe — Lit shoe tower
   size L×W×H: 600 × 470 × 2100 mm  |  parameters: {"shelves": 9, "shelf_led": true}
   placements: #01 X 1964 Y 465 Z FFL+0  |  front faces: any → rot_z 0°
Build the generator, test it on the first item, then build and place all items in order. Ask me only if a placement point clearly falls outside the building.</t>
  </si>
  <si>
    <t xml:space="preserve">TASK: Generate the pouf round family — 5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POUF_ROUND
Write a function build_pouf_round(**params) that returns the asset root.
Geometry recipe: Revolve a section: rounded foot (25), sides with slight bulge, generous rounded top edge (bevel), crowned seat; Ø=L, height H; low-frequency wobble 1.5 mm so it reads soft.
Default parameters (mm): {"bevel": 60, "fabric": "boucle", "H": 420}
Host type: floor.
ITEMS
1. UL-07 — Upper lounge — Pair of bouclé poufs Ø450
   size L×W×H: 450 × 450 × 420 mm  |  parameters: {"bevel": 60}
   placements: #01 X 8150 Y 7680 Z FFL+0; #02 X 8790 Y 7680 Z FFL+0  |  front faces: any → rot_z 0°
   fit note: tucked at the console
2. MW-08 — Master walk-in wardrobe — Bouclé pouf Ø400
   size L×W×H: 400 × 400 × 420 mm  |  parameters: {"bevel": 60}
   placements: #01 X 1247 Y 950 Z FFL+0  |  front faces: any → rot_z 0°
3. B1-07 — Bedroom-1 — Bouclé ottoman
   size L×W×H: 450 × 450 × 420 mm  |  parameters: {"bevel": 60}
   placements: #01 X 7400 Y 1350 Z FFL+0  |  front faces: any → rot_z 0°
4. BW-05 — Bedroom-1 walk-in wardrobe — Bouclé pouf Ø400
   size L×W×H: 400 × 400 × 420 mm  |  parameters: {"bevel": 60}
   placements: #01 X 11500 Y 3050 Z FFL+0  |  front faces: any → rot_z 0°
5. LB-07 — Large balcony — Sunbrella ottoman
   size L×W×H: 500 × 500 × 400 mm  |  parameters: {"bevel": 60}
   placements: #01 X 2100 Y 9150 Z FFL+0  |  front faces: any → rot_z 0°
Build the generator, test it on the first item, then build and place all items in order. Ask me only if a placement point clearly falls outside the building.</t>
  </si>
  <si>
    <t xml:space="preserve">TASK: Generate the planter tree family — 4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PLANTER_TREE
Write a function build_planter_tree(**params) that returns the asset root.
Geometry recipe: Planter: revolved tapered pot (foot 0.7·Ø, lip Ø), hollow, pot_h, with soil disc 45 mm below the lip. Tree: recursive branch generator (trunk + 3–5 scaffold branches, depth 4–5), tapered tubes, olive leaf cards (62×11 mm quads, two-sided geometry) clustered at twig tips; total height H from the floor; trim any geometry within 15 mm of walls or above 2700 mm.
Default parameters (mm): {"pot_h": 600, "species": "olive", "crown_density": "high", "trim_to_room": true, "H": 1800}
Host type: floor.
ITEMS
1. UL-08 — Upper lounge — Olive tree 1.8 m in a hand-finished stone planter
   size L×W×H: 600 × 600 × 1800 mm  |  parameters: {"pot_h": 600, "species": "default", "crown_density": "high", "trim_to_room": true}
   placements: #01 X 8900 Y 5600 Z FFL+0  |  front faces: any → rot_z 0°
2. MB-07 — Master bedroom — Tall olive tree in a stone planter
   size L×W×H: 500 × 500 × 1600 mm  |  parameters: {"pot_h": 600, "species": "default", "crown_density": "high", "trim_to_room": true}
   placements: #01 X 480 Y 6950 Z FFL+0  |  front faces: any → rot_z 0°
3. B1-08 — Bedroom-1 — Tall plant in a stone planter
   size L×W×H: 500 × 500 × 1500 mm  |  parameters: {"pot_h": 600, "species": "default", "crown_density": "high", "trim_to_room": true}
   placements: #01 X 6900 Y 2850 Z FFL+0  |  front faces: any → rot_z 0°
4. LB-06 — Large balcony — Olive trees ×2 in stone planters
   size L×W×H: 560 × 560 × 1800 mm  |  parameters: {"pot_h": 600, "species": "default", "crown_density": "high", "trim_to_room": true}
   placements: #01 X 550 Y 11850 Z FFL+0; #02 X 3700 Y 11850 Z FFL+0  |  front faces: any → rot_z 0°
Build the generator, test it on the first item, then build and place all items in order. Ask me only if a placement point clearly falls outside the building.</t>
  </si>
  <si>
    <t xml:space="preserve">TASK: Generate the planter trough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PLANTER_TROUGH
Write a function build_planter_trough(**params) that returns the asset root.
Geometry recipe: Rectangular hollow trough L×W×H, 30 mm walls, 10 mm bevel; soil slab 40 mm below the rim; trailing foliage = leaf-card strands hanging over the front edge.
Default parameters (mm): {"wall_t": 30, "plants": "trailing", "H": 400}
Host type: floor.
ITEMS
1. VO-01 — Void over GF lounge — Low honed-stone planter trough 1500×250 at the balustrade corner
   size L×W×H: 1500 × 250 × 400 mm  |  parameters: {"wall_t": 30, "plants": "trailing"}
   placements: #01 X 9162 Y 7050 Z FFL+0  |  front faces: any → rot_z 0°
   fit note: on the lounge side of the balustrade (the void has no floor)
2. SB-03 — Small balcony — Narrow planter along the railing
   size L×W×H: 3350 × 205 × 400 mm  |  parameters: {"wall_t": 30, "plants": "trailing"}
   placements: #01 X 12858 Y 10375 Z FFL+0  |  front faces: any → rot_z 0°
Build the generator, test it on the first item, then build and place all items in order. Ask me only if a placement point clearly falls outside the building.</t>
  </si>
  <si>
    <t xml:space="preserve">TASK: Generate the vanity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VANITY
Write a function build_vanity(**params) that returns the asset root.
Geometry recipe: Wall-hung cabinet L×depth×(H−30−floor_gap) with flush fronts; 30 mm stone top with eased edge and undermount basin cut(s) (basins count, 450 wide each); single-lever tap per basin (simple swept spout).
Default parameters (mm): {"depth": 550, "basins": 1, "top": "Calacatta Viola 30", "carcass": "walnut", "wall_hung": true, "H": 850}
Host type: wall.
ITEMS
1. MT-01 — Master toilet — Double walnut vanity 1500 with Calacatta Viola top
   size L×W×H: 1500 × 545 × 850 mm  |  parameters: {"depth": 550, "basins": 2, "top": "30", "wall_hung": true}
   placements: #01 X 3722 Y 1800 Z FFL+0  |  front faces: any → rot_z 0°
2. BT-01 — Bedroom-1 toilet — Walnut vanity 900 with Viola top
   size L×W×H: 900 × 505 × 850 mm  |  parameters: {"depth": 550, "basins": 1, "top": "30", "wall_hung": true}
   placements: #01 X 12708 Y 850 Z FFL+0  |  front faces: any → rot_z 0°
3. B2T-01 — Bedroom-2 toilet — Walnut vanity 1200 with Viola top
   size L×W×H: 1155 × 505 × 850 mm  |  parameters: {"depth": 550, "basins": 1, "top": "30", "wall_hung": true}
   placements: #01 X 7260 Y 11618 Z FFL+0  |  front faces: any → rot_z 0°
Build the generator, test it on the first item, then build and place all items in order. Ask me only if a placement point clearly falls outside the building.</t>
  </si>
  <si>
    <t xml:space="preserve">TASK: Generate the wc wallhung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WC_WALLHUNG
Write a function build_wc_wallhung(**params) that returns the asset root.
Geometry recipe: Pan from a lofted rounded profile 540×370 × 400 high off the wall, open bowl, seat ring + lid; concealed-cistern ledge box 150 deep behind; flush plate 250×160×6 on the ledge face.
Default parameters (mm): {"pan": "540×370", "cistern": "concealed", "flush_plate": "brushed brass", "H": 400}
Host type: wall.
ITEMS
1. MT-02 — Master toilet — Wall-hung WC with concealed cistern and brass flush plate
   size L×W×H: 495 × 380 × 400 mm  |  parameters: {"pan": "540×370", "cistern": "concealed", "flush_plate": "default"}
   placements: #01 X 3200 Y 522 Z FFL+0  |  front faces: any → rot_z 0°
2. BT-02 — Bedroom-1 toilet — Concealed-cistern WC
   size L×W×H: 495 × 380 × 400 mm  |  parameters: {"pan": "540×370", "cistern": "concealed", "flush_plate": "default"}
   placements: #01 X 12712 Y 1990 Z FFL+0  |  front faces: any → rot_z 0°
3. B2T-02 — Bedroom-2 toilet — Concealed-cistern WC
   size L×W×H: 540 × 380 × 400 mm  |  parameters: {"pan": "540×370", "cistern": "concealed", "flush_plate": "default"}
   placements: #01 X 6540 Y 11925 Z FFL+0  |  front faces: any → rot_z 0°
Build the generator, test it on the first item, then build and place all items in order. Ask me only if a placement point clearly falls outside the building.</t>
  </si>
  <si>
    <t xml:space="preserve">TASK: Generate the shower enclosure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SHOWER_ENCLOSURE
Write a function build_shower_enclosure(**params) that returns the asset root.
Geometry recipe: Flush shower floor zone (outline L×W, 15 mm fall), linear drain slot 700×60; frameless glass panel(s) 10 mm thick, height H, with 4 small clamp blocks; ceiling rain head Ø300 × 8 on an arm; handheld set on a slide bar.
Default parameters (mm): {"tray": "flush microcement", "glass": "frameless low-iron 10 mm", "drain": "linear brass", "rain_head": "Ø300 brass", "H": 2100}
Host type: floor.
ITEMS
1. MT-03 — Master toilet — Walk-in shower 1650×1000 with frameless low-iron glass
   size L×W×H: 1595 × 953 × 2100 mm  |  parameters: {"tray": "flush microcement", "glass": "frameless low-iron 10 mm", "drain": "linear", "rain_head": "Ø300"}
   placements: #01 X 3198 Y 3164 Z FFL+0  |  front faces: any → rot_z 0°
2. BT-03 — Bedroom-1 toilet — Shower 900×1000 with frameless glass
   size L×W×H: 955 × 855 × 2100 mm  |  parameters: {"tray": "flush microcement", "glass": "frameless low-iron 10 mm", "drain": "linear", "rain_head": "Ø300"}
   placements: #01 X 11472 Y 752 Z FFL+0  |  front faces: any → rot_z 0°
3. B2T-03 — Bedroom-2 toilet — Walk-in shower with frameless glass
   size L×W×H: 1000 × 955 × 2100 mm  |  parameters: {"tray": "flush microcement", "glass": "frameless low-iron 10 mm", "drain": "linear", "rain_head": "Ø300"}
   placements: #01 X 5750 Y 11718 Z FFL+0  |  front faces: any → rot_z 0°
Build the generator, test it on the first item, then build and place all items in order. Ask me only if a placement point clearly falls outside the building.</t>
  </si>
  <si>
    <t xml:space="preserve">TASK: Generate the shower bench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SHOWER_BENCH
Write a function build_shower_bench(**params) that returns the asset root.
Geometry recipe: Slatted teak bench L×W×H: slats slat_w with slat_gap gaps on two brackets (stainless L-brackets) fixed to the back wall.
Default parameters (mm): {"slat_w": 45, "slat_gap": 8, "H": 450}
Host type: floor.
ITEMS
1. MT-04 — Master toilet — Teak shower bench
   size L×W×H: 980 × 340 × 450 mm  |  parameters: {"slat_w": 45, "slat_gap": 8}
   placements: #01 X 2910 Y 3460 Z FFL+0  |  front faces: any → rot_z 0°
Build the generator, test it on the first item, then build and place all items in order. Ask me only if a placement point clearly falls outside the building.</t>
  </si>
  <si>
    <t xml:space="preserve">TASK: Generate the bathtub freestanding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BATHTUB_FREESTANDING
Write a function build_bathtub_freestanding(**params) that returns the asset root.
Geometry recipe: Oval tub L×W×H: loft an outer superellipse profile, inner offset by wall_t, rolled rim 30 mm; closed manifold solid; small drain hole.
Default parameters (mm): {"shape": "oval", "wall_t": 15, "material": "stone-resin", "H": 560}
Host type: floor.
ITEMS
1. B2T-04 — Bedroom-2 toilet — Freestanding stone-resin tub 1500×750 on the short wall
   size L×W×H: 1500 × 750 × 560 mm  |  parameters: {"shape": "oval", "wall_t": 15}
   placements: #01 X 4675 Y 11270 Z FFL+0  |  front faces: any → rot_z 0°
Build the generator, test it on the first item, then build and place all items in order. Ask me only if a placement point clearly falls outside the building.</t>
  </si>
  <si>
    <t xml:space="preserve">TASK: Generate the tall cabinet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TALL_CABINET
Write a function build_tall_cabinet(**params) that returns the asset root.
Geometry recipe: Tall carcass L×depth×H, single door with a 3 mm shadow-gap pull on the edge; floating 150 mm or on a plinth.
Default parameters (mm): {"depth": 400, "finish": "plum lacquer", "doors": 1, "H": 2100}
Host type: floor.
ITEMS
1. MT-05 — Master toilet — Plum lacquer tall cabinet
   size L×W×H: 395 × 355 × 2100 mm  |  parameters: {"depth": 400, "doors": 1}
   placements: #01 X 3798 Y 452 Z FFL+0  |  front faces: any → rot_z 0°
2. B2T-05 — Bedroom-2 toilet — Linen tower cabinet 400
   size L×W×H: 400 × 400 × 2100 mm  |  parameters: {"depth": 400, "doors": 1}
   placements: #01 X 5500 Y 10496 Z FFL+0  |  front faces: any → rot_z 0°
Build the generator, test it on the first item, then build and place all items in order. Ask me only if a placement point clearly falls outside the building.</t>
  </si>
  <si>
    <t xml:space="preserve">TASK: Generate the recessed family — 11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RECESSED
Write a function build_recessed(**params) that returns the asset root.
Geometry recipe: Wall recess: rectangular (or arched) cut H×L, depth 100, into the host wall (Boolean, applied), lined with a 10 mm surround/lining; optional shelves inside; a 'floating shelf' variant = surface slab 40 thick fixed to the wall instead of a cut.
Default parameters (mm): {"depth": 100, "H": 600}
Host type: wall.
ITEMS
1. MT-06 — Master toilet — Recessed mirror cabinet
   size L×W×H: 550 × 40 × 700 mm  |  parameters: {"depth": 100, "type": "mirror cabinet"}
   placements: #01 X 3975 Y 1375 Z FFL+0  |  front faces: W → rot_z 270°
2. MT-07 — Master toilet — Towel shelf
   size L×W×H: 380 × 40 × 300 mm  |  parameters: {"depth": 100, "type": "towel shelf"}
   placements: #01 X 3200 Y 295 Z FFL+0  |  front faces: N → rot_z 180°
3. MT-09 — Master toilet — Viola marble niche
   size L×W×H: 300 × 40 × 400 mm  |  parameters: {"depth": 100, "type": "niche"}
   placements: #01 X 2420 Y 3150 Z FFL+0  |  front faces: E → rot_z 90°
4. BT-04 — Bedroom-1 toilet — Recessed niche
   size L×W×H: 300 × 40 × 400 mm  |  parameters: {"depth": 100, "type": "shower niche"}
   placements: #01 X 11065 Y 850 Z FFL+0  |  front faces: E → rot_z 90°
5. BT-05 — Bedroom-1 toilet — Towel shelf
   size L×W×H: 380 × 40 × 300 mm  |  parameters: {"depth": 100, "type": "towel shelf"}
   placements: #01 X 12940 Y 1990 Z FFL+0  |  front faces: W → rot_z 270°
6. BT-10 — Bedroom-1 toilet — Viola marble niche
   size L×W×H: 200 × 40 × 400 mm  |  parameters: {"depth": 100, "type": "niche lining"}
   placements: #01 X 11065 Y 1100 Z FFL+0  |  front faces: E → rot_z 90°
7. B2-07 — Bedroom-2 (+ vestibule) — Floating shelf
   size L×W×H: 800 × 40 × 40 mm  |  parameters: {"depth": 100, "type": "floating shelf (surface-mounted)"}
   placements: #01 X 7695 Y 10900 Z FFL+0  |  front faces: E → rot_z 90°
8. B2T-06 — Bedroom-2 toilet — Recessed niche
   size L×W×H: 400 × 40 × 400 mm  |  parameters: {"depth": 100, "type": "shower niche"}
   placements: #01 X 5500 Y 12175 Z FFL+0  |  front faces: S → rot_z 0°
9. B2T-08 — Bedroom-2 toilet — Viola niche
   size L×W×H: 400 × 40 × 400 mm  |  parameters: {"depth": 100, "type": "niche lining"}
   placements: #01 X 6000 Y 12175 Z FFL+0  |  front faces: S → rot_z 0°
10. LB-08 — Large balcony — Arched wall niche with shelves
   size L×W×H: 1500 × 40 × 1800 mm  |  parameters: {"depth": 100, "type": "arched niche with shelves"}
   placements: #01 X 3975 Y 10650 Z FFL+0  |  front faces: W → rot_z 270°
11. ST-05 — Staircase — Sculpture niche with bronze sculpture
   size L×W×H: 700 × 40 × 900 mm  |  parameters: {"depth": 100, "type": "sculpture niche + sculpture"}
   placements: #01 X 5350 Y 250 Z FFL+0  |  front faces: N → rot_z 180°
Build the generator, test it on the first item, then build and place all items in order. Ask me only if a placement point clearly falls outside the building.</t>
  </si>
  <si>
    <t xml:space="preserve">TASK: Generate the outdoor lounge chair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OUTDOOR_LOUNGE_CHAIR
Write a function build_outdoor_lounge_chair(**params) that returns the asset root.
Geometry recipe: Frame chair: 45×45 rounded section frame (legs, arms, rails), back reclined 106°, slatted back (5–7 slats), thick seat cushion (110) and back cushion with piping.
Default parameters (mm): {"frame": "teak", "cushion": "Sunbrella", "slats": true, "H": 750}
Host type: floor.
ITEMS
1. LB-01 — Large balcony — Teak lounge chairs ×2 with Sunbrella cushions
   size L×W×H: 800 × 800 × 750 mm  |  parameters: {"frame": "default", "slats": true}
   placements: #01 X 1300 Y 9900 Z FFL+0; #02 X 2900 Y 9900 Z FFL+0  |  front faces: E → rot_z 90°
2. SB-01 — Small balcony — 2 slim teak lounge chairs with Sunbrella cushions
   size L×W×H: 700 × 700 × 750 mm  |  parameters: {"frame": "default", "slats": true}
   placements: #01 X 12200 Y 9600 Z FFL+0; #02 X 12200 Y 11050 Z FFL+0  |  front faces: W → rot_z 270°
Build the generator, test it on the first item, then build and place all items in order. Ask me only if a placement point clearly falls outside the building.</t>
  </si>
  <si>
    <t xml:space="preserve">TASK: Generate the swing oonjal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SWING_OONJAL
Write a function build_swing_oonjal(**params) that returns the asset root.
Geometry recipe: Swing seat 1500×600×40 slatted with back rail; 4 chains (torus link chains, link 30 mm) from seat corners up to an A-frame 2000×1200 × 2400 high (two A legs + top beam) or to 2 ceiling hooks.
Default parameters (mm): {"seat": "1500×600 teak", "frame": "A-frame 2000×1200", "chains": "brass", "H": 2400}
Host type: floor.
ITEMS
1. LB-03 — Large balcony — Teak oonjal (swing) on brass chains (optional)
   size L×W×H: 2000 × 1200 × 2400 mm  |  parameters: {"seat": "1500×600", "frame": "A-frame 2000×1200", "chains": "default"}
   placements: #01 X 2000 Y 11500 Z FFL+0  |  front faces: any → rot_z 0°
   fit note: A-frame footprint 2000×1200
Build the generator, test it on the first item, then build and place all items in order. Ask me only if a placement point clearly falls outside the building.</t>
  </si>
  <si>
    <t xml:space="preserve">TASK: Generate the outdoor cabinet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OUTDOOR_CABINET
Write a function build_outdoor_cabinet(**params) that returns the asset root.
Geometry recipe: Cabinet L×W×H, doors with vertical flutes (25 mm pitch, 4 mm deep half-round grooves), 30 mm stone top slab, recessed plinth.
Default parameters (mm): {"front": "fluted teak", "top": "stone 30", "H": 800}
Host type: floor.
ITEMS
1. LB-04 — Large balcony — Fluted teak cabinet with stone top 1500×450
   size L×W×H: 1500 × 450 × 800 mm  |  parameters: {"front": "fluted", "top": "30"}
   placements: #01 X 3770 Y 10650 Z FFL+0  |  front faces: any → rot_z 0°
Build the generator, test it on the first item, then build and place all items in order. Ask me only if a placement point clearly falls outside the building.</t>
  </si>
  <si>
    <t xml:space="preserve">TASK: Generate the stool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STOOL
Write a function build_stool(**params) that returns the asset root.
Geometry recipe: Solid drum stool Ø=L × H with 8 mm eased edges, slight waist (−4%) at mid-height.
Default parameters (mm): {"material": "teak", "H": 450}
Host type: floor.
ITEMS
1. LB-05 — Large balcony — Teak side stools ×2
   size L×W×H: 380 × 380 × 450 mm  |  parameters: {}
   placements: #01 X 650 Y 9900 Z FFL+0; #02 X 3400 Y 9350 Z FFL+0  |  front faces: any → rot_z 0°
Build the generator, test it on the first item, then build and place all items in order. Ask me only if a placement point clearly falls outside the building.</t>
  </si>
  <si>
    <t xml:space="preserve">TASK: Generate the stair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STAIR
Write a function build_stair(**params) that returns the asset root.
Geometry recipe: Dog-leg stair: two flights (riser riser_h, going 250, width ≈ 1000 each) and a half landing; 40 mm treads with stone nosing strips; balustrade of Ø12 rods @100 between a bottom stringer and a 50×10 top rail; recessed handrail channel in the wall.
Default parameters (mm): {"treads": "solid oak 40", "riser_h": 170, "going": 250, "balustrade": "black steel rods Ø12 @100", "H": 3348}
Host type: floor.
ITEMS
1. ST-01 — Staircase — Solid-oak treads with black steel rod balustrade (continues the ground floor)
   size L×W×H: 4329 × 2173 × 3348 mm  |  parameters: {"treads": "solid 40", "riser_h": 170, "going": 250, "balustrade": "rods Ø12 @100"}
   placements: #01 X 5324 Y 2394 Z FFL+0  |  front faces: any → rot_z 0°
Build the generator, test it on the first item, then build and place all items in order. Ask me only if a placement point clearly falls outside the building.</t>
  </si>
  <si>
    <t xml:space="preserve">TASK: Generate the moss panel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MOSS_PANEL
Write a function build_moss_panel(**params) that returns the asset root.
Geometry recipe: Frame 30×40 around a 40 mm deep panel L×H; the moss surface as a displaced grid (8–12 mm noise relief) inside the frame.
Default parameters (mm): {"frame": "bronze 30", "depth": 40, "H": 1800}
Host type: wall.
ITEMS
1. SB-04 — Small balcony — Preserved-moss wall panel in a bronze frame
   size L×W×H: 1050 × 40 × 1800 mm  |  parameters: {"frame": "30", "depth": 40}
   placements: #01 X 12375 Y 12220 Z FFL+0  |  front faces: S → rot_z 0°
Build the generator, test it on the first item, then build and place all items in order. Ask me only if a placement point clearly falls outside the building.</t>
  </si>
  <si>
    <t xml:space="preserve">TASK: Generate the lift finish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LIFT_FINISH
Write a function build_lift_finish(**params) that returns the asset root.
Geometry recipe: Fascia / surround = thin rectangular frame pieces (100 wide, 30 proud) around the lift opening; indicator = 180×60×10 plate above the door.
Default parameters (mm): {"H": 2100}
Host type: wall.
ITEMS
1. LL-04 — Lift lobby (in upper lounge) — Brass lift fascia and floor indicator
   size L×W×H: 1010 × 40 × 2100 mm  |  parameters: {"type": "fascia + indicator"}
   placements: #01 X 5049 Y 8257 Z FFL+0  |  front faces: N → rot_z 180°
2. LL-05 — Lift lobby (in upper lounge) — Travertine surround (matches ground floor)
   size L×W×H: 100 × 40 × 2100 mm  |  parameters: {"type": "surround"}
   placements: #01 X 4494 Y 8257 Z FFL+0; #02 X 5604 Y 8257 Z FFL+0  |  front faces: N → rot_z 180°
Build the generator, test it on the first item, then build and place all items in order. Ask me only if a placement point clearly falls outside the building.</t>
  </si>
  <si>
    <t xml:space="preserve">TASK: Generate the art frame family — 11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ART_FRAME
Write a function build_art_frame(**params) that returns the asset root.
Geometry recipe: Frame of four mitred members frame_w × frame_d around a canvas plane inset canvas_inset; outer size L (W) × H; back 2 mm off the wall; centre height centre_h.
Default parameters (mm): {"frame_w": 30, "frame_d": 40, "canvas_inset": 5, "image": "natural abstract", "centre_h": 1500, "H": 900}
Host type: wall.
ITEMS
1. UL-09 — Upper lounge — Abstract art above the console
   size L×W×H: 1100 × 40 × 800 mm  |  parameters: {"frame_w": 30, "frame_d": 40, "canvas_inset": 5, "centre_h": 1500}
   placements: #01 X 8470 Y 8258 Z FFL+1100.0 (footprint 1140×37)  |  front faces: S → rot_z 0°
2. UL-12 — Upper lounge — Gallery wall of 4 limited-edition prints in walnut frames
   size L×W×H: 1280 × 40 × 900 mm  |  parameters: {"frame_w": 30, "frame_d": 40, "canvas_inset": 5, "centre_h": 1500}
   placements: #01 X 8540 Y 4580 Z FFL+1050.0 (footprint 1280×41)  |  front faces: N → rot_z 180°
3. MB-08 — Master bedroom — Botanical art pair
   size L×W×H: 850 × 40 × 600 mm  |  parameters: {"frame_w": 30, "frame_d": 40, "canvas_inset": 5, "centre_h": 1500}
   placements: #01 X 825 Y 3815 Z FFL+1200.0  |  front faces: N → rot_z 180°
4. MB-09 — Master bedroom — Large framed abstract
   size L×W×H: 900 × 40 × 1200 mm  |  parameters: {"frame_w": 30, "frame_d": 40, "canvas_inset": 5, "centre_h": 1500}
   placements: #01 X 2800 Y 3815 Z FFL+900.0  |  front faces: N → rot_z 180°
5. MW-13 — Master walk-in wardrobe — Limited-edition print
   size L×W×H: 450 × 40 × 600 mm  |  parameters: {"frame_w": 30, "frame_d": 40, "canvas_inset": 5, "centre_h": 1500}
   placements: #01 X 1125 Y 3667 Z FFL+1200.0  |  front faces: S → rot_z 0°
6. B1-09 — Bedroom-1 — Framed abstract
   size L×W×H: 1000 × 40 × 1200 mm  |  parameters: {"frame_w": 30, "frame_d": 40, "canvas_inset": 5, "centre_h": 1500}
   placements: #01 X 10905 Y 1700 Z FFL+900.0  |  front faces: W → rot_z 270°
7. B1-10 — Bedroom-1 — Art pair above the dresser
   size L×W×H: 500 × 40 × 700 mm  |  parameters: {"frame_w": 30, "frame_d": 40, "canvas_inset": 5, "centre_h": 1500}
   placements: #01 X 6630 Y 1900 Z FFL+1150.0 (footprint 1100×40)  |  front faces: E → rot_z 90°
8. BW-08 — Bedroom-1 walk-in wardrobe — Limited-edition print
   size L×W×H: 400 × 40 × 500 mm  |  parameters: {"frame_w": 30, "frame_d": 40, "canvas_inset": 5, "centre_h": 1500}
   placements: #01 X 12150 Y 2652 Z FFL+1250.0  |  front faces: N → rot_z 180°
9. B2-08 — Bedroom-2 (+ vestibule) — Print set above the bed
   size L×W×H: 1400 × 40 × 500 mm  |  parameters: {"frame_w": 30, "frame_d": 40, "canvas_inset": 5, "centre_h": 1500}
   placements: #01 X 9400 Y 8624 Z FFL+1250.0 (footprint 1400×33)  |  front faces: N → rot_z 180°
10. ST-03 — Staircase — Landing artwork
   size L×W×H: 600 × 40 × 800 mm  |  parameters: {"frame_w": 30, "frame_d": 40, "canvas_inset": 5, "centre_h": 1500}
   placements: #01 X 4258 Y 700 Z FFL+1100.0  |  front faces: E → rot_z 90°
11. ST-04 — Staircase — Gallery of 3 frames along the flight
   size L×W×H: 500 × 40 × 650 mm  |  parameters: {"frame_w": 30, "frame_d": 40, "canvas_inset": 5, "centre_h": 1500}
   placements: #01 X 4258 Y 2750 Z FFL+1175.0 (footprint 2300×40)  |  front faces: E → rot_z 90°
Build the generator, test it on the first item, then build and place all items in order. Ask me only if a placement point clearly falls outside the building.</t>
  </si>
  <si>
    <t xml:space="preserve">TASK: Generate the mirror family — 6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MIRROR
Write a function build_mirror(**params) that returns the asset root.
Geometry recipe: Mirror plate (5 mm) with outline per shape: round/oval = ellipse, organic = closed spline with ±7% wobble, strip/full-length = rounded rectangle; frame = swept tube Ø8–20 or flat band along the outline; 10 mm backing; centre_h.
Default parameters (mm): {"shape": "organic", "frame": "brass 8", "backlight": false, "centre_h": 1500, "H": 900}
Host type: wall.
ITEMS
1. MB-18 — Master bedroom — Bronze-framed mirror strip
   size L×W×H: 900 × 30 × 900 mm  |  parameters: {"shape": "strip", "frame": "default", "backlight": false, "centre_h": 1500}
   placements: #01 X 245 Y 7750 Z FFL+1050.0  |  front faces: E → rot_z 90°
2. MW-09 — Master walk-in wardrobe — Bronze-framed full-length mirror
   size L×W×H: 600 × 40 × 900 mm  |  parameters: {"shape": "full-length 600×2000", "frame": "default", "backlight": false, "centre_h": 1500}
   placements: #01 X 1250 Y 250 Z FFL+1050.0  |  front faces: N → rot_z 180°
3. MT-08 — Master toilet — Pair of organic mirrors
   size L×W×H: 750 × 40 × 900 mm  |  parameters: {"shape": "organic", "frame": "8", "backlight": true, "centre_h": 1500}
   placements: #01 X 3975 Y 2075 Z FFL+1050.0  |  front faces: W → rot_z 270°
4. BT-06 — Bedroom-1 toilet — Organic mirror
   size L×W×H: 800 × 40 × 900 mm  |  parameters: {"shape": "organic", "frame": "8", "backlight": true, "centre_h": 1500}
   placements: #01 X 12940 Y 850 Z FFL+1050.0  |  front faces: W → rot_z 270°
5. B2T-07 — Bedroom-2 toilet — Organic mirror
   size L×W×H: 1000 × 40 × 900 mm  |  parameters: {"shape": "organic", "frame": "8", "backlight": true, "centre_h": 1500}
   placements: #01 X 7493 Y 11640 Z FFL+1050.0  |  front faces: W → rot_z 270°
6. LL-02 — Lift lobby (in upper lounge) — Round brass mirror
   size L×W×H: 500 × 37 × 900 mm  |  parameters: {"shape": "round Ø500", "frame": "default", "backlight": false, "centre_h": 1500}
   placements: #01 X 6020 Y 8258 Z FFL+1050.0  |  front faces: N → rot_z 180°
Build the generator, test it on the first item, then build and place all items in order. Ask me only if a placement point clearly falls outside the building.</t>
  </si>
  <si>
    <t xml:space="preserve">TASK: Generate the accessory family — 34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ACCESSORY
Write a function build_accessory(**params) that returns the asset root.
Geometry recipe: Small objects from primitives / revolves, dropped onto the host surface at the marked point: vase / bottle (revolved profile, hollow), bowl (shallow revolve), tray (lofted rounded rectangle with walls), books (stack of rounded boxes with cover/pages split), candles (cylinder + holder revolve), diffuser (bottle + 8 reed sticks Ø3), towel ladder (2 uprights Ø25 + bars Ø16), tub filler (floor column + spout), shower/tap set (swept spouts, cylinders). Keep each under ~5k tris.
Default parameters (mm): {"type": "auto", "scatter_on": "host top", "H": 150}
Host type: host.
ITEMS
1. UL-10 — Upper lounge — Sculptural vase
   size L×W×H: 250 × 250 × 150 mm  |  parameters: {"type": "vase", "scatter_on": "host top"}
   placements: #01 X 8000 Y 8100 Z host  |  front faces: any → rot_z 0°
2. UL-11 — Upper lounge — Coffee-table books
   size L×W×H: 250 × 250 × 150 mm  |  parameters: {"type": "books", "scatter_on": "host top"}
   placements: #01 X 6600 Y 6150 Z host  |  front faces: any → rot_z 0°
3. UL-13 — Upper lounge — Curated ceramics on the shelves
   size L×W×H: 250 × 250 × 150 mm  |  parameters: {"type": "ceramics", "scatter_on": "host top"}
   placements: #01 X 8540 Y 4734 Z host  |  front faces: any → rot_z 0°
4. UL-14 — Upper lounge — Brass tray with candles
   size L×W×H: 250 × 250 × 150 mm  |  parameters: {"type": "tray + candles", "scatter_on": "host top"}
   placements: #01 X 6900 Y 6420 Z host  |  front faces: any → rot_z 0°
5. UL-15 — Upper lounge — Travertine bowl
   size L×W×H: 250 × 250 × 150 mm  |  parameters: {"type": "bowl", "scatter_on": "host top"}
   placements: #01 X 9050 Y 8100 Z host  |  front faces: any → rot_z 0°
6. MB-10 — Master bedroom — Bronze trays
   size L×W×H: 250 × 250 × 150 mm  |  parameters: {"type": "tray", "scatter_on": "host top"}
   placements: #01 X 3600 Y 4450 Z host  |  front faces: any → rot_z 0°
7. MB-11 — Master bedroom — Orchid
   size L×W×H: 250 × 250 × 150 mm  |  parameters: {"type": "orchid", "scatter_on": "host top"}
   placements: #01 X 3600 Y 7100 Z host  |  front faces: any → rot_z 0°
8. MB-12 — Master bedroom — Bud vases
   size L×W×H: 250 × 250 × 150 mm  |  parameters: {"type": "vase", "scatter_on": "host top"}
   placements: #01 X 1625 Y 7850 Z host  |  front faces: any → rot_z 0°
9. MB-13 — Master bedroom — Stacked books
   size L×W×H: 250 × 250 × 150 mm  |  parameters: {"type": "books", "scatter_on": "host top"}
   placements: #01 X 2700 Y 4045 Z host  |  front faces: any → rot_z 0°
10. MB-14 — Master bedroom — Sculptural bronze bowl
   size L×W×H: 250 × 250 × 150 mm  |  parameters: {"type": "bowl", "scatter_on": "host top"}
   placements: #01 X 1685 Y 5783 Z host  |  front faces: any → rot_z 0°
11. MW-10 — Master walk-in wardrobe — Velvet-lined trays
   size L×W×H: 250 × 250 × 150 mm  |  parameters: {"type": "tray", "scatter_on": "host top"}
   placements: #01 X 1964 Y 1150 Z host  |  front faces: any → rot_z 0°
12. MW-11 — Master walk-in wardrobe — Brass valet
   size L×W×H: 250 × 250 × 150 mm  |  parameters: {"type": "valet", "scatter_on": "host top"}
   placements: #01 X 1100 Y 3300 Z host  |  front faces: any → rot_z 0°
13. MW-12 — Master walk-in wardrobe — Reed diffuser
   size L×W×H: 250 × 250 × 150 mm  |  parameters: {"type": "diffuser", "scatter_on": "host top"}
   placements: #01 X 2100 Y 900 Z host  |  front faces: any → rot_z 0°
14. MT-10 — Master toilet — Brass dispenser and tray set
   size L×W×H: 250 × 250 × 150 mm  |  parameters: {"type": "tray + dispenser", "scatter_on": "host top"}
   placements: #01 X 3720 Y 1800 Z host  |  front faces: any → rot_z 0°
15. MT-11 — Master toilet — Orchid
   size L×W×H: 250 × 250 × 150 mm  |  parameters: {"type": "orchid", "scatter_on": "host top"}
   placements: #01 X 3720 Y 2300 Z host  |  front faces: any → rot_z 0°
16. MT-13 — Master toilet — Reed diffuser
   size L×W×H: 250 × 250 × 150 mm  |  parameters: {"type": "diffuser", "scatter_on": "host top"}
   placements: #01 X 3720 Y 2450 Z host  |  front faces: any → rot_z 0°
17. MT-17 — Master toilet — Brushed-brass PVD rain shower, handheld and taps
   size L×W×H: 250 × 250 × 150 mm  |  parameters: {"type": "shower + taps set", "scatter_on": "host top"}
   placements: #01 X 3200 Y 3480 Z host  |  front faces: any → rot_z 0°
18. MT-22 — Master toilet — Brass heated towel ladder
   size L×W×H: 600 × 44 × 1200 mm  |  parameters: {"type": "heated towel ladder", "scatter_on": "host top"}
   placements: #01 X 2378 Y 700 Z host  |  front faces: E → rot_z 90°
19. B1-11 — Bedroom-1 — Tray with ceramics
   size L×W×H: 250 × 250 × 150 mm  |  parameters: {"type": "tray + ceramics", "scatter_on": "host top"}
   placements: #01 X 6835 Y 1600 Z host  |  front faces: any → rot_z 0°
20. B1-12 — Bedroom-1 — Vase with dried stems
   size L×W×H: 250 × 250 × 150 mm  |  parameters: {"type": "vase + stems", "scatter_on": "host top"}
   placements: #01 X 6835 Y 2300 Z host  |  front faces: any → rot_z 0°
21. B1-13 — Bedroom-1 — Books
   size L×W×H: 250 × 250 × 150 mm  |  parameters: {"type": "books", "scatter_on": "host top"}
   placements: #01 X 9900 Y 4170 Z host  |  front faces: any → rot_z 0°
22. BW-06 — Bedroom-1 walk-in wardrobe — Brass hooks
   size L×W×H: 250 × 250 × 150 mm  |  parameters: {"type": "hooks", "scatter_on": "host top"}
   placements: #01 X 11100 Y 3600 Z host  |  front faces: any → rot_z 0°
23. BT-07 — Bedroom-1 toilet — Brass accessory set
   size L×W×H: 250 × 250 × 150 mm  |  parameters: {"type": "accessory set", "scatter_on": "host top"}
   placements: #01 X 12700 Y 1250 Z host  |  front faces: any → rot_z 0°
24. BT-12 — Bedroom-1 toilet — Brushed-brass PVD shower set and taps
   size L×W×H: 250 × 250 × 150 mm  |  parameters: {"type": "shower + taps set", "scatter_on": "host top"}
   placements: #01 X 11450 Y 1000 Z host  |  front faces: any → rot_z 0°
25. BT-15 — Bedroom-1 toilet — Brass heated towel rail (added)
   size L×W×H: 500 × 40 × 900 mm  |  parameters: {"type": "heated towel rail", "scatter_on": "host top"}
   placements: #01 X 11020 Y 1650 Z host  |  front faces: E → rot_z 90°
26. B2-09 — Bedroom-2 (+ vestibule) — Brass desk lamp and leather desk set
   size L×W×H: 250 × 250 × 150 mm  |  parameters: {"type": "lamp + desk set", "scatter_on": "host top"}
   placements: #01 X 7885 Y 11200 Z host  |  front faces: any → rot_z 0°
27. B2-10 — Bedroom-2 (+ vestibule) — Plants and books
   size L×W×H: 250 × 250 × 150 mm  |  parameters: {"type": "books + plants", "scatter_on": "host top"}
   placements: #01 X 11321 Y 9300 Z host  |  front faces: any → rot_z 0°
28. B2-11 — Bedroom-2 (+ vestibule) — Bud vases
   size L×W×H: 250 × 250 × 150 mm  |  parameters: {"type": "vase", "scatter_on": "host top"}
   placements: #01 X 8373 Y 8832 Z host  |  front faces: any → rot_z 0°
29. B2T-09 — Bedroom-2 toilet — Brass accessory set
   size L×W×H: 250 × 250 × 150 mm  |  parameters: {"type": "accessory set", "scatter_on": "host top"}
   placements: #01 X 7260 Y 11300 Z host  |  front faces: any → rot_z 0°
30. B2T-10 — Bedroom-2 toilet — Candle tray by the tub
   size L×W×H: 250 × 250 × 150 mm  |  parameters: {"type": "tray", "scatter_on": "host top"}
   placements: #01 X 5180 Y 10700 Z host  |  front faces: any → rot_z 0°
31. B2T-16 — Bedroom-2 toilet — Brushed-brass PVD floor-standing tub filler and fittings
   size L×W×H: 120 × 120 × 1000 mm  |  parameters: {"type": "floor-standing tub filler", "scatter_on": "host top"}
   placements: #01 X 5180 Y 11270 Z host  |  front faces: any → rot_z 0°
32. B2T-19 — Bedroom-2 toilet — Brass heated towel rail
   size L×W×H: 600 × 40 × 900 mm  |  parameters: {"type": "heated towel rail", "scatter_on": "host top"}
   placements: #01 X 6200 Y 10271 Z host  |  front faces: N → rot_z 180°
33. SB-06 — Small balcony — Bronze hanging planter
   size L×W×H: 250 × 250 × 150 mm  |  parameters: {"type": "hanging planter", "scatter_on": "host top"}
   placements: #01 X 12500 Y 11700 Z host  |  front faces: any → rot_z 0°
34. LL-03 — Lift lobby (in upper lounge) — Vase with dried stems
   size L×W×H: 250 × 250 × 150 mm  |  parameters: {"type": "vase + stems", "scatter_on": "host top"}
   placements: #01 X 6020 Y 8130 Z host  |  front faces: any → rot_z 0°
Build the generator, test it on the first item, then build and place all items in order. Ask me only if a placement point clearly falls outside the building.</t>
  </si>
  <si>
    <t xml:space="preserve">TASK: Generate the joinery insert family — 11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JOINERY_INSERT
Write a function build_joinery_insert(**params) that returns the asset root.
Geometry recipe: Parametric insert sized to its host joinery module: drawer with glass top + dividers, pull-out tie/belt rack (rail + pins), laundry hamper (open box on runners), display shelves (open boxes), handles (bar 300 long), glass upper doors (frame + pane). Build as separate parts parented to the host.
Default parameters (mm): {"insert": "auto", "H": 0}
Host type: host.
ITEMS
1. MW-03 — Master walk-in wardrobe — Glass-top jewellery drawers
   size L×W×H: 250 × 250 × 0 mm  |  parameters: {"insert": "drawers + glass"}
   placements: #01 X 1964 Y 975 Z host  |  front faces: any → rot_z 0°
2. MW-05 — Master walk-in wardrobe — Tie and belt pull-outs
   size L×W×H: 250 × 250 × 0 mm  |  parameters: {"insert": "pull-outs"}
   placements: #01 X 530 Y 2600 Z host  |  front faces: any → rot_z 0°
3. MW-06 — Master walk-in wardrobe — Laundry hamper
   size L×W×H: 250 × 250 × 0 mm  |  parameters: {"insert": "hamper"}
   placements: #01 X 530 Y 700 Z host  |  front faces: any → rot_z 0°
4. MW-07 — Master walk-in wardrobe — Bag display shelves
   size L×W×H: 250 × 250 × 0 mm  |  parameters: {"insert": "display"}
   placements: #01 X 530 Y 3300 Z host  |  front faces: any → rot_z 0°
5. MW-15 — Master walk-in wardrobe — Leather-wrapped handles
   size L×W×H: 250 × 250 × 0 mm  |  parameters: {"insert": "handles"}
   placements: #01 X 830 Y 1800 Z host  |  front faces: any → rot_z 0°
6. MW-16 — Master walk-in wardrobe — Fabric-lined drawers
   size L×W×H: 250 × 250 × 0 mm  |  parameters: {"insert": "drawers"}
   placements: #01 X 1964 Y 800 Z host  |  front faces: any → rot_z 0°
7. BW-02 — Bedroom-1 walk-in wardrobe — Bronze-tinted glass upper doors
   size L×W×H: 250 × 250 × 0 mm  |  parameters: {"insert": "glass"}
   placements: #01 X 11900 Y 4000 Z host  |  front faces: any → rot_z 0°
8. BW-03 — Bedroom-1 walk-in wardrobe — Glass-top accessory drawers
   size L×W×H: 250 × 250 × 0 mm  |  parameters: {"insert": "drawers + glass"}
   placements: #01 X 12660 Y 3200 Z host  |  front faces: any → rot_z 0°
9. BW-04 — Bedroom-1 walk-in wardrobe — Pull-out mirror
   size L×W×H: 250 × 250 × 0 mm  |  parameters: {"insert": "mirror"}
   placements: #01 X 12660 Y 2900 Z host  |  front faces: any → rot_z 0°
10. BW-07 — Bedroom-1 walk-in wardrobe — Bag display
   size L×W×H: 250 × 250 × 0 mm  |  parameters: {"insert": "display"}
   placements: #01 X 12300 Y 4150 Z host  |  front faces: any → rot_z 0°
11. BW-10 — Bedroom-1 walk-in wardrobe — Leather-wrapped handles
   size L×W×H: 250 × 250 × 0 mm  |  parameters: {"insert": "handles"}
   placements: #01 X 12360 Y 3350 Z host  |  front faces: any → rot_z 0°
Build the generator, test it on the first item, then build and place all items in order. Ask me only if a placement point clearly falls outside the building.</t>
  </si>
  <si>
    <t xml:space="preserve">TASK: Generate the plant small family — 8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PLANT_SMALL
Write a function build_plant_small(**params) that returns the asset root.
Geometry recipe: Pot (revolved, hollow, soil disc) + plant: palm = 8–12 arching fronds (stem tube + leaflet cards); trailing = 10–20 hanging strands of leaf cards; pot cluster = 3 pots of different sizes.
Default parameters (mm): {"pot_d": 300, "species": "palm / trailing", "H": 600}
Host type: floor.
ITEMS
1. VO-03 — Void over GF lounge — Trailing plants spilling over the trough
   size L×W×H: 300 × 300 × 600 mm  |  parameters: {"pot_d": 300, "species": "trailing"}
   placements: #01 X 9162 Y 7050 Z FFL+0  |  front faces: any → rot_z 0°
2. BT-08 — Bedroom-1 toilet — Trailing plant
   size L×W×H: 250 × 250 × 600 mm  |  parameters: {"pot_d": 300, "species": "trailing"}
   placements: #01 X 11300 Y 2300 Z FFL+0  |  front faces: any → rot_z 0°
3. B2T-12 — Bedroom-2 toilet — Trailing plant
   size L×W×H: 250 × 250 × 600 mm  |  parameters: {"pot_d": 300, "species": "trailing"}
   placements: #01 X 6500 Y 10500 Z FFL+0  |  front faces: any → rot_z 0°
4. LB-09 — Large balcony — Palms and planters
   size L×W×H: 500 × 500 × 600 mm  |  parameters: {"pot_d": 300, "species": "palm"}
   placements: #01 X 3600 Y 8850 Z FFL+0; #02 X 450 Y 10900 Z FFL+0 (footprint 420×420)  |  front faces: any → rot_z 0°
5. LB-10 — Large balcony — Trailing plants
   size L×W×H: 200 × 200 × 600 mm  |  parameters: {"pot_d": 300, "species": "trailing"}
   placements: #01 X 3770 Y 11000 Z FFL+0  |  front faces: any → rot_z 0°
6. LB-12 — Large balcony — Ceramic pot cluster
   size L×W×H: 350 × 350 × 600 mm  |  parameters: {"pot_d": 300, "species": "ceramic pot cluster"}
   placements: #01 X 800 Y 11300 Z FFL+0  |  front faces: any → rot_z 0°
7. SB-05 — Small balcony — Potted palm
   size L×W×H: 450 × 450 × 600 mm  |  parameters: {"pot_d": 300, "species": "palm"}
   placements: #01 X 12100 Y 8850 Z FFL+0  |  front faces: any → rot_z 0°
8. ST-02 — Staircase — Planter with trailing plant at the stair base
   size L×W×H: 420 × 420 × 600 mm  |  parameters: {"pot_d": 300, "species": "trailing"}
   placements: #01 X 4550 Y 600 Z FFL+0  |  front faces: any → rot_z 0°
   fit note: stair base = landing corner on this floor
Build the generator, test it on the first item, then build and place all items in order. Ask me only if a placement point clearly falls outside the building.</t>
  </si>
  <si>
    <t xml:space="preserve">TASK: Generate the lantern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LANTERN
Write a function build_lantern(**params) that returns the asset root.
Geometry recipe: Square lantern lan_w×lan_w×H: 12 mm frame posts and rails, 4 glass panes (separate part), cap and ring handle, candle inside.
Default parameters (mm): {"body": "black steel + brass", "glass": true, "H": 450}
Host type: floor.
ITEMS
1. LB-11 — Large balcony — Black-steel and brass lanterns ×3
   size L×W×H: 220 × 220 × 450 mm  |  parameters: {"body": "default", "glass": true}
   placements: #01 X 3300 Y 11500 Z FFL+0; #02 X 3300 Y 11250 Z FFL+0; #03 X 3300 Y 11000 Z FFL+0  |  front faces: any → rot_z 0°
2. SB-07 — Small balcony — Lantern pair
   size L×W×H: 160 × 160 × 450 mm  |  parameters: {"body": "default", "glass": true}
   placements: #01 X 11950 Y 11700 Z FFL+0; #02 X 11950 Y 12000 Z FFL+0  |  front faces: any → rot_z 0°
Build the generator, test it on the first item, then build and place all items in order. Ask me only if a placement point clearly falls outside the building.</t>
  </si>
  <si>
    <t xml:space="preserve">TASK: Generate the finish floor family — 11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FINISH_FLOOR
Write a function build_finish_floor(**params) that returns the asset root.
Geometry recipe: Floor finish slab over the room rectangle, 15 mm thick (top at FFL), with the pattern modelled only as UV-ready faces: herringbone / tiles / boards cut as a grid of faces (no gaps) so materials can be assigned later.
Default parameters (mm): {"pattern": "auto", "grout": 2, "H": 15}
Host type: room.
ITEMS
1. UL-17 — Upper lounge — Honed Italian light-stone floor
   size L×W×H: 5049 × 3718 × 15 mm  |  parameters: {"pattern": "1200×600", "grout": 2}
   placements: #01 X 6762 Y 6418 Z FFL+0  |  front faces: any → rot_z 0°
   room rectangle (mm): X 4238–9287, Y 4559–8277
2. MB-19 — Master bedroom — Herringbone oak floor (engineered, hand-oiled)
   size L×W×H: 4482 × 3810 × 15 mm  |  parameters: {"pattern": "herringbone 600×90", "grout": 2}
   placements: #01 X 2135 Y 6036 Z FFL+0  |  front faces: any → rot_z 0°
   room rectangle (mm): X 230–4040, Y 3795–8277
3. MW-17 — Master walk-in wardrobe — Herringbone oak floor
   size L×W×H: 3457 × 2034 × 15 mm  |  parameters: {"pattern": "herringbone", "grout": 2}
   placements: #01 X 1247 Y 1958 Z FFL+0  |  front faces: any → rot_z 0°
   room rectangle (mm): X 230–2264, Y 230–3687
4. MT-16 — Master toilet — Grey microcement floor (underfloor-heated)
   size L×W×H: 3457 × 1684 × 15 mm  |  parameters: {"pattern": "microcement (heated)", "grout": 2}
   placements: #01 X 3198 Y 1958 Z FFL+0  |  front faces: any → rot_z 0°
   room rectangle (mm): X 2356–4040, Y 230–3687
5. B1-17 — Bedroom-1 — Herringbone oak floor (engineered, hand-oiled)
   size L×W×H: 4315 × 4115 × 15 mm  |  parameters: {"pattern": "herringbone", "grout": 2}
   placements: #01 X 8768 Y 2288 Z FFL+0  |  front faces: any → rot_z 0°
   room rectangle (mm): X 6610–10925, Y 230–4345
6. BW-11 — Bedroom-1 walk-in wardrobe — Oak floor
   size L×W×H: 2080 × 1713 × 15 mm  |  parameters: {"pattern": "plank", "grout": 2}
   placements: #01 X 11965 Y 3488 Z FFL+0  |  front faces: any → rot_z 0°
   room rectangle (mm): X 10925–13005, Y 2632–4345
7. BT-11 — Bedroom-1 toilet — Microcement floor
   size L×W×H: 2402 × 2005 × 15 mm  |  parameters: {"pattern": "microcement", "grout": 2}
   placements: #01 X 12002 Y 1431 Z FFL+0  |  front faces: any → rot_z 0°
   room rectangle (mm): X 11000–13005, Y 230–2632
8. B2-16 — Bedroom-2 (+ vestibule) — Herringbone oak floor
   size L×W×H: 3886 × 3733 × 15 mm  |  parameters: {"pattern": "herringbone", "grout": 2}
   placements: #01 X 9578 Y 10374 Z FFL+0  |  front faces: any → rot_z 0°
   room rectangle (mm): X 7635–11521, Y 8507–12240
9. B2T-15 — Bedroom-2 toilet — Grey microcement floor
   size L×W×H: 3320 × 1989 × 15 mm  |  parameters: {"pattern": "microcement", "grout": 2}
   placements: #01 X 5898 Y 11246 Z FFL+0  |  front faces: any → rot_z 0°
   room rectangle (mm): X 4238–7558, Y 10251–12240
10. LB-14 — Large balcony — Teak / ipe hardwood deck (replaces WPC)
   size L×W×H: 3810 × 3733 × 15 mm  |  parameters: {"pattern": "/ ipe deck 140×20", "grout": 2}
   placements: #01 X 2135 Y 10374 Z FFL+0  |  front faces: any → rot_z 0°
   room rectangle (mm): X 230–4040, Y 8507–12240
11. SB-09 — Small balcony — Teak / ipe hardwood deck
   size L×W×H: 3733 × 1255 × 15 mm  |  parameters: {"pattern": "/ ipe deck", "grout": 2}
   placements: #01 X 12378 Y 10374 Z FFL+0  |  front faces: any → rot_z 0°
   room rectangle (mm): X 11750–13005, Y 8507–12240
Build the generator, test it on the first item, then build and place all items in order. Ask me only if a placement point clearly falls outside the building.</t>
  </si>
  <si>
    <t xml:space="preserve">TASK: Generate the finish wall family — 9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FINISH_WALL
Write a function build_finish_wall(**params) that returns the asset root.
Geometry recipe: Thin skin (5 mm) on every wall face of the room rectangle up to 2750 (or full height), openings left open; one object per room.
Default parameters (mm): {"apply_to": "all walls", "H": 0}
Host type: room.
ITEMS
1. MW-14 — Master walk-in wardrobe — Walnut veneer
   size L×W×H: 3457 × 2034 × 0 mm  |  parameters: {"apply_to": "all walls"}
   placements: #01 X 1247 Y 1958 Z FFL+0  |  front faces: any → rot_z 0°
   room rectangle (mm): X 230–2264, Y 230–3687
2. MT-14 — Master toilet — White fluted tile
   size L×W×H: 3457 × 1684 × 0 mm  |  parameters: {"apply_to": "all walls"}
   placements: #01 X 3198 Y 1958 Z FFL+0  |  front faces: any → rot_z 0°
   room rectangle (mm): X 2356–4040, Y 230–3687
3. BW-09 — Bedroom-1 walk-in wardrobe — Walnut veneer
   size L×W×H: 2080 × 1713 × 0 mm  |  parameters: {"apply_to": "all walls"}
   placements: #01 X 11965 Y 3488 Z FFL+0  |  front faces: any → rot_z 0°
   room rectangle (mm): X 10925–13005, Y 2632–4345
4. BT-09 — Bedroom-1 toilet — Fluted tile
   size L×W×H: 2402 × 2005 × 0 mm  |  parameters: {"apply_to": "all walls"}
   placements: #01 X 12002 Y 1431 Z FFL+0  |  front faces: any → rot_z 0°
   room rectangle (mm): X 11000–13005, Y 230–2632
5. B2-12 — Bedroom-2 (+ vestibule) — Light-oak and greige variant with olive accents
   size L×W×H: 3886 × 3733 × 0 mm  |  parameters: {"apply_to": "all walls"}
   placements: #01 X 9578 Y 10374 Z FFL+0  |  front faces: any → rot_z 0°
   room rectangle (mm): X 7635–11521, Y 8507–12240
6. B2T-13 — Bedroom-2 toilet — White fluted tile
   size L×W×H: 3320 × 1989 × 0 mm  |  parameters: {"apply_to": "all walls"}
   placements: #01 X 5898 Y 11246 Z FFL+0  |  front faces: any → rot_z 0°
   room rectangle (mm): X 4238–7558, Y 10251–12240
7. LB-13 — Large balcony — Textured plaster walls
   size L×W×H: 3810 × 3733 × 0 mm  |  parameters: {"apply_to": "all walls"}
   placements: #01 X 2135 Y 10374 Z FFL+0  |  front faces: any → rot_z 0°
   room rectangle (mm): X 230–4040, Y 8507–12240
8. SB-08 — Small balcony — Textured plaster
   size L×W×H: 3733 × 1255 × 0 mm  |  parameters: {"apply_to": "all walls"}
   placements: #01 X 12378 Y 10374 Z FFL+0  |  front faces: any → rot_z 0°
   room rectangle (mm): X 11750–13005, Y 8507–12240
9. ST-06 — Staircase — Travertine wall cladding
   size L×W×H: 4329 × 2173 × 0 mm  |  parameters: {"apply_to": "all walls"}
   placements: #01 X 5324 Y 2394 Z FFL+0  |  front faces: any → rot_z 0°
   room rectangle (mm): X 4238–6411, Y 230–4559
Build the generator, test it on the first item, then build and place all items in order. Ask me only if a placement point clearly falls outside the building.</t>
  </si>
  <si>
    <t xml:space="preserve">TASK: Generate the wall panel ogee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WALL_PANEL_OGEE
Write a function build_wall_panel_ogee(**params) that returns the asset root.
Geometry recipe: Per wall face: skirting 120, dado 880, cornice 150 as swept profiles; picture-frame mouldings (40×20 ogee profile swept round rectangles) in panels 600–900 wide between dado and cornice and below the dado.
Default parameters (mm): {"profile": "40×20 ogee", "dado_h": 880, "skirting_h": 120, "cornice_h": 150, "panel_w": "auto 600–900", "H": 2550}
Host type: wall.
ITEMS
1. UL-16 — Upper lounge — White ogee panels
   size L×W×H: 5049 × 3718 × 2550 mm  |  parameters: {"profile": "40×20 ogee", "dado_h": 880, "skirting_h": 120, "cornice_h": 150, "panel_w": "auto 600–900"}
   placements: #01 X 6762 Y 6418 Z FFL+0  |  front faces: any → rot_z 0°
Build the generator, test it on the first item, then build and place all items in order. Ask me only if a placement point clearly falls outside the building.</t>
  </si>
  <si>
    <t xml:space="preserve">TASK: Generate the wall feature panel family — 9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WALL_FEATURE_PANEL
Write a function build_wall_feature_panel(**params) that returns the asset root.
Geometry recipe: Panel on the wall face L×H×depth: slats = vertical bars (module 60, gap 15, depth 40); fluted = half-round flutes 25 pitch; upholstered = soft rounded tiles with 5 mm seams; marble slabs = 20 mm slabs with 3 mm joints; trims = 10×10 strips at the edges.
Default parameters (mm): {"type": "slat/fluted/upholstered/marble", "module": 60, "depth": 40, "H": 2700}
Host type: wall.
ITEMS
1. UL-19 — Upper lounge — Walnut slatted feature panel
   size L×W×H: 1637 × 27 × 2700 mm  |  parameters: {"type": "slats", "module": 60, "depth": 40}
   placements: #01 X 8468 Y 8264 Z FFL+0  |  front faces: S → rot_z 0°
2. MB-15 — Master bedroom — Green marble panels flanking a taupe fabric headboard, bronze trims
   size L×W×H: 2750 × 100 × 2700 mm  |  parameters: {"type": "upholstered + , trims", "module": 60, "depth": 40}
   placements: #01 X 3990 Y 5775 Z FFL+0  |  front faces: W → rot_z 270°
3. MB-16 — Master bedroom — Fluted walnut TV panel
   size L×W×H: 2000 × 40 × 2700 mm  |  parameters: {"type": "fluted", "module": 60, "depth": 40}
   placements: #01 X 250 Y 5783 Z FFL+0  |  front faces: E → rot_z 90°
4. MT-15 — Master toilet — Viola marble feature wall in the shower
   size L×W×H: 1595 × 40 × 2700 mm  |  parameters: {"type": "slabs", "module": 60, "depth": 40}
   placements: #01 X 3198 Y 3620 Z FFL+0  |  front faces: S → rot_z 0°
5. B1-14 — Bedroom-1 — Walnut slat headboard with bronze trims
   size L×W×H: 2900 × 100 × 2700 mm  |  parameters: {"type": "slats + trims", "module": 60, "depth": 40}
   placements: #01 X 9350 Y 280 Z FFL+0  |  front faces: N → rot_z 180°
6. B1-15 — Bedroom-1 — Taupe fabric panels
   size L×W×H: 480 × 40 × 2700 mm  |  parameters: {"type": "upholstered", "module": 60, "depth": 40}
   placements: #01 X 8140 Y 350 Z FFL+0; #02 X 10560 Y 350 Z FFL+0  |  front faces: N → rot_z 180°
7. B2-13 — Bedroom-2 (+ vestibule) — Greige upholstered headboard wall
   size L×W×H: 2600 × 100 × 2700 mm  |  parameters: {"type": "upholstered + trim", "module": 60, "depth": 40}
   placements: #01 X 9400 Y 8557 Z FFL+0  |  front faces: N → rot_z 180°
8. B2-14 — Bedroom-2 (+ vestibule) — Oak slat accent behind the desk
   size L×W×H: 1200 × 40 × 2700 mm  |  parameters: {"type": "slats", "module": 60, "depth": 40}
   placements: #01 X 7655 Y 10850 Z FFL+0  |  front faces: E → rot_z 90°
9. B2T-14 — Bedroom-2 toilet — Viola marble feature wall behind the tub
   size L×W×H: 1740 × 40 × 2700 mm  |  parameters: {"type": "slabs", "module": 60, "depth": 40}
   placements: #01 X 4270 Y 11270 Z FFL+0  |  front faces: E → rot_z 90°
Build the generator, test it on the first item, then build and place all items in order. Ask me only if a placement point clearly falls outside the building.</t>
  </si>
  <si>
    <t xml:space="preserve">TASK: Generate the ceiling tray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CEILING_TRAY
Write a function build_ceiling_tray(**params) that returns the asset root.
Geometry recipe: Tray: recess inset 400 from the walls, from 2750 up to 2950, two cornice steps (60, 100 wide) and a hidden cove ledge 80 wide for an LED strip (strip is a separate item).
Default parameters (mm): {"inset": 400, "steps": 2, "cove_led": true, "ceiling_h": 2750, "tray_h": 2950, "H": 200}
Host type: ceiling.
ITEMS
1. UL-20 — Upper lounge — Tray ceiling with stepped cornice
   size L×W×H: 3200 × 2350 × 200 mm  |  parameters: {"inset": 400, "steps": 2, "cove_led": true, "ceiling_h": 2750, "tray_h": 2950}
   placements: #01 X 6700 Y 6325 Z FFL+2950  |  front faces: any → rot_z 0°
2. MB-17 — Master bedroom — Tray ceiling with cove
   size L×W×H: 2600 × 2550 × 200 mm  |  parameters: {"inset": 400, "steps": 2, "cove_led": true, "ceiling_h": 2750, "tray_h": 2950}
   placements: #01 X 2575 Y 5800 Z FFL+2950  |  front faces: any → rot_z 0°
3. B1-16 — Bedroom-1 — Cove ceiling
   size L×W×H: 3000 × 2700 × 200 mm  |  parameters: {"inset": 400, "steps": 2, "cove_led": true, "ceiling_h": 2750, "tray_h": 2950}
   placements: #01 X 9350 Y 2300 Z FFL+2950  |  front faces: any → rot_z 0°
Build the generator, test it on the first item, then build and place all items in order. Ask me only if a placement point clearly falls outside the building.</t>
  </si>
  <si>
    <t xml:space="preserve">TASK: Generate the balustrade glass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BALUSTRADE_GLASS
Write a function build_balustrade_glass(**params) that returns the asset root.
Geometry recipe: Glass panels 13.5 thick × 1100 high along the edge line, 1000 wide each with 5 mm joints, base channel 60×120, top cap rail 40×20 and handrail Ø42 on brackets.
Default parameters (mm): {"glass": "low-iron 13.5 laminated", "cap": "dark bronze", "clamp": "bronze", "H": 1100}
Host type: floor.
ITEMS
1. UL-18 — Upper lounge — Glass balustrade with dark-bronze cap
   size L×W×H: 3718 × 35 × 1100 mm  |  parameters: {"glass": "low-iron 13.5 laminated", "cap": "default", "clamp": "default"}
   placements: #01 X 9282 Y 6418 Z FFL+0  |  front faces: W → rot_z 270°
2. VO-04 — Void over GF lounge — Low-iron glass balustrade with bronze handrail and clamps
   size L×W×H: 3718 × 40 × 1100 mm  |  parameters: {"glass": "low-iron 13.5 laminated", "cap": "default", "clamp": "default"}
   placements: #01 X 9290 Y 6418 Z FFL+0  |  front faces: E → rot_z 90°
Build the generator, test it on the first item, then build and place all items in order. Ask me only if a placement point clearly falls outside the building.</t>
  </si>
  <si>
    <t xml:space="preserve">TASK: Generate the inlay strip family — 5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INLAY_STRIP
Write a function build_inlay_strip(**params) that returns the asset root.
Geometry recipe: Flush strip width × 5 along the given line (or nosing: 40 deep L-profile on the edge).
Default parameters (mm): {"width": 20, "material": "brass", "H": 5}
Host type: floor.
ITEMS
1. UL-21 — Upper lounge — Brass inlay strip at the void edge
   size L×W×H: 3718 × 32 × 5 mm  |  parameters: {"width": 20}
   placements: #01 X 9246 Y 6418 Z FFL+0  |  front faces: W → rot_z 270°
2. VO-05 — Void over GF lounge — Stone nosing at the void edge
   size L×W×H: 400 × 37 × 5 mm  |  parameters: {"width": 20}
   placements: #01 X 9244 Y 5100 Z FFL+0  |  front faces: E → rot_z 90°
3. B2-15 — Bedroom-2 (+ vestibule) — Bronze trims
   size L×W×H: 250 × 250 × 5 mm  |  parameters: {"width": 20}
   placements: #01 X 10650 Y 8560 Z FFL+0  |  front faces: any → rot_z 0°
4. ST-07 — Staircase — Stone nosing on the treads
   size L×W×H: 250 × 250 × 5 mm  |  parameters: {"width": 20}
   placements: #01 X 4800 Y 2500 Z FFL+0  |  front faces: any → rot_z 0°
5. LL-06 — Lift lobby (in upper lounge) — Bronze inlay at the lift threshold
   size L×W×H: 1010 × 50 × 5 mm  |  parameters: {"width": 20}
   placements: #01 X 5049 Y 8205 Z FFL+0  |  front faces: N → rot_z 180°
Build the generator, test it on the first item, then build and place all items in order. Ask me only if a placement point clearly falls outside the building.</t>
  </si>
  <si>
    <t xml:space="preserve">TASK: Generate the soffit slat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SOFFIT_SLAT
Write a function build_soffit_slat(**params) that returns the asset root.
Geometry recipe: Slats 70 wide @85 pitch, 20 thick, under the ceiling over the room rectangle, on two cross battens.
Default parameters (mm): {"slat_w": 70, "gap": 15, "H": 60}
Host type: ceiling.
ITEMS
1. LB-15 — Large balcony — Timber slat soffit
   size L×W×H: 3500 × 3400 × 60 mm  |  parameters: {"slat_w": 70, "gap": 15}
   placements: #01 X 2150 Y 10400 Z FFL+2750  |  front faces: any → rot_z 0°
2. SB-10 — Small balcony — Timber slat soffit
   size L×W×H: 3640 × 1150 × 60 mm  |  parameters: {"slat_w": 70, "gap": 15}
   placements: #01 X 12375 Y 10370 Z FFL+2750  |  front faces: any → rot_z 0°
Build the generator, test it on the first item, then build and place all items in order. Ask me only if a placement point clearly falls outside the building.</t>
  </si>
  <si>
    <t xml:space="preserve">TASK: Generate the pebble border family — 1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PEBBLE_BORDER
Write a function build_pebble_border(**params) that returns the asset root.
Geometry recipe: Ring band (inner Ø planter + 100, width 150) scattered with 120–200 pebbles (flattened low-poly spheres 30–60 mm), no interpenetration.
Default parameters (mm): {"width": 150, "H": 40}
Host type: floor.
ITEMS
1. LB-16 — Large balcony — Pebble border around the planters
   size L×W×H: 820 × 820 × 40 mm  |  parameters: {"width": 150}
   placements: #01 X 550 Y 11850 Z FFL+0; #02 X 3700 Y 11850 Z FFL+0  |  front faces: any → rot_z 0°
Build the generator, test it on the first item, then build and place all items in order. Ask me only if a placement point clearly falls outside the building.</t>
  </si>
  <si>
    <t xml:space="preserve">TASK: Generate the light chandelier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LIGHT_CHANDELIER
Write a function build_light_chandelier(**params) that returns the asset root.
Geometry recipe: Ceiling canopy Ø120–300 + rods/cables to the fixture; body per style: stacked brass discs (shallow lathed dishes Ø900 / Ø600, 14 thick, 90 apart) or a cluster of 3 blown-glass globes (Ø350, hollow 3 mm) at staggered drops; bottom at drop_to_bottom_mm.
Default parameters (mm): {"style": "sculptural brass", "drop_to_bottom_mm": 2200, "lumens": 3000, "H": 600}
Host type: ceiling.
ITEMS
1. UL-22 — Upper lounge — Sculptural brass chandelier Ø900 with concealed LED cove (dimmable scenes)
   size L×W×H: 900 × 900 × 600 mm  |  parameters: {"style": "sculptural Ø900", "drop_to_bottom_mm": 2200}
   placements: #01 X 6750 Y 6300 Z FFL+2750  |  front faces: any → rot_z 0°
2. ST-10 — Staircase — Sculptural blown-glass pendant cluster in the stair void
   size L×W×H: 700 × 700 × 600 mm  |  parameters: {"style": "blown-glass pendant cluster", "drop_to_bottom_mm": 2400}
   placements: #01 X 5330 Y 2500 Z FFL+2750  |  front faces: any → rot_z 0°
Build the generator, test it on the first item, then build and place all items in order. Ask me only if a placement point clearly falls outside the building.</t>
  </si>
  <si>
    <t xml:space="preserve">TASK: Generate the light pendant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LIGHT_PENDANT
Write a function build_light_pendant(**params) that returns the asset root.
Geometry recipe: Canopy Ø120 + cable Ø4 + shade (alabaster cylinder or globe Ø250, hollow) with bottom at drop_to_bottom_mm.
Default parameters (mm): {"shade": "alabaster", "drop_to_bottom_mm": 1600, "H": 350}
Host type: ceiling.
ITEMS
1. MB-21 — Master bedroom — Alabaster bedside pendants ×2 (replace table lamps)
   size L×W×H: 260 × 260 × 350 mm  |  parameters: {"shade": "default", "drop_to_bottom_mm": 1600}
   placements: #01 X 3715 Y 4594 Z FFL+2750; #02 X 3715 Y 6973 Z FFL+2750  |  front faces: any → rot_z 0°
2. B1-19 — Bedroom-1 — Bedside pendants ×2 (replace table lamps)
   size L×W×H: 260 × 260 × 350 mm  |  parameters: {"shade": "default", "drop_to_bottom_mm": 1600}
   placements: #01 X 8158 Y 555 Z FFL+2750; #02 X 10537 Y 555 Z FFL+2750  |  front faces: any → rot_z 0°
Build the generator, test it on the first item, then build and place all items in order. Ask me only if a placement point clearly falls outside the building.</t>
  </si>
  <si>
    <t xml:space="preserve">TASK: Generate the light sconce family — 8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LIGHT_SCONCE
Write a function build_light_sconce(**params) that returns the asset root.
Geometry recipe: Wall plate Ø100–120 × 10, short arm, diffuser: disc Ø200 (frosted lens + rim), globe Ø200, or cone (Ø45→60 × 220); centre_h; projection ≤ 100 mm below 2030.
Default parameters (mm): {"style": "disc/globe/brass", "centre_h": 1600, "H": 200}
Host type: wall.
ITEMS
1. UL-24 — Upper lounge — Disc sconces ×2
   size L×W×H: 200 × 200 × 200 mm  |  parameters: {"style": "disc", "centre_h": 1600}
   placements: #01 X 7690 Y 8170 Z FFL+1500.0; #02 X 9250 Y 8170 Z FFL+1500.0  |  front faces: any → rot_z 0°
2. MT-18 — Master toilet — Globe sconces ×2
   size L×W×H: 180 × 180 × 200 mm  |  parameters: {"style": "globe", "centre_h": 1600}
   placements: #01 X 3950 Y 1050 Z FFL+1500.0; #02 X 3950 Y 2550 Z FFL+1500.0  |  front faces: any → rot_z 0°
3. BT-13 — Bedroom-1 toilet — Globe sconce
   size L×W×H: 180 × 180 × 200 mm  |  parameters: {"style": "globe", "centre_h": 1600}
   placements: #01 X 12900 Y 1450 Z FFL+1500.0  |  front faces: any → rot_z 0°
4. B2-18 — Bedroom-2 (+ vestibule) — Brass bedside wall sconces ×2 (replace table lamps)
   size L×W×H: 200 × 200 × 200 mm  |  parameters: {"style": "bedside", "centre_h": 1600}
   placements: #01 X 8373 Y 9150 Z FFL+1500.0; #02 X 10447 Y 9150 Z FFL+1500.0  |  front faces: any → rot_z 0°
5. B2T-17 — Bedroom-2 toilet — Globe sconces
   size L×W×H: 180 × 180 × 200 mm  |  parameters: {"style": "globe", "centre_h": 1600}
   placements: #01 X 7450 Y 11050 Z FFL+1500.0  |  front faces: any → rot_z 0°
6. LB-17 — Large balcony — Wall globe lights
   size L×W×H: 220 × 220 × 200 mm  |  parameters: {"style": "globe", "centre_h": 1600}
   placements: #01 X 1600 Y 12200 Z FFL+1500.0; #02 X 3000 Y 12200 Z FFL+1500.0  |  front faces: any → rot_z 0°
7. SB-11 — Small balcony — Wall globe light
   size L×W×H: 200 × 200 × 200 mm  |  parameters: {"style": "globe", "centre_h": 1600}
   placements: #01 X 12400 Y 12150 Z FFL+1500.0  |  front faces: any → rot_z 0°
8. LL-08 — Lift lobby (in upper lounge) — Brass wall sconce pair
   size L×W×H: 180 × 180 × 200 mm  |  parameters: {"style": "default", "centre_h": 1600}
   placements: #01 X 5600 Y 8170 Z FFL+1500.0; #02 X 6440 Y 8170 Z FFL+1500.0  |  front faces: any → rot_z 0°
Build the generator, test it on the first item, then build and place all items in order. Ask me only if a placement point clearly falls outside the building.</t>
  </si>
  <si>
    <t xml:space="preserve">TASK: Generate the light floor lamp family — 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LIGHT_FLOOR_LAMP
Write a function build_light_floor_lamp(**params) that returns the asset root.
Geometry recipe: Weighted base Ø300 × 25, stem Ø22 to 1500, small arm, conical shade Ø260 × 170 (hollow 1 mm).
Default parameters (mm): {"style": "brass reading", "H": 1500}
Host type: floor.
ITEMS
1. UL-23 — Upper lounge — Brass floor reading lamp
   size L×W×H: 350 × 350 × 1500 mm  |  parameters: {"style": "reading"}
   placements: #01 X 5450 Y 7700 Z FFL+0  |  front faces: any → rot_z 0°
2. MB-23 — Master bedroom — Floor lamp
   size L×W×H: 300 × 300 × 1500 mm  |  parameters: {"style": "reading"}
   placements: #01 X 2650 Y 7750 Z FFL+0  |  front faces: any → rot_z 0°
Build the generator, test it on the first item, then build and place all items in order. Ask me only if a placement point clearly falls outside the building.</t>
  </si>
  <si>
    <t xml:space="preserve">TASK: Generate the light linear family — 5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LIGHT_LINEAR
Write a function build_light_linear(**params) that returns the asset root.
Geometry recipe: Recessed linear profile lin_len × 60 × 50 cut into the ceiling with a 3 mm diffuser face.
Default parameters (mm): {"profile": "recessed 40", "cct": 2700, "H": 40}
Host type: ceiling.
ITEMS
1. MB-20 — Master bedroom — Linear lights ×2
   size L×W×H: 1900 × 40 × 40 mm  |  parameters: {"profile": "recessed 40"}
   placements: #01 X 2950 Y 4750 Z FFL+2750; #02 X 2950 Y 6820 Z FFL+2750  |  front faces: any → rot_z 0°
2. MW-19 — Master walk-in wardrobe — Linear aisle light
   size L×W×H: 2400 × 40 × 40 mm  |  parameters: {"profile": "recessed 40"}
   placements: #01 X 1247 Y 2300 Z FFL+2750  |  front faces: any → rot_z 0°
3. B1-18 — Bedroom-1 — Linear lights
   size L×W×H: 1400 × 40 × 40 mm  |  parameters: {"profile": "recessed 40"}
   placements: #01 X 8300 Y 1600 Z FFL+2750; #02 X 10400 Y 1600 Z FFL+2750  |  front faces: any → rot_z 0°
4. BW-13 — Bedroom-1 walk-in wardrobe — Linear ceiling light
   size L×W×H: 1300 × 40 × 40 mm  |  parameters: {"profile": "recessed 40"}
   placements: #01 X 11650 Y 3200 Z FFL+2750  |  front faces: any → rot_z 0°
5. B2-17 — Bedroom-2 (+ vestibule) — Linear light
   size L×W×H: 2600 × 40 × 40 mm  |  parameters: {"profile": "recessed 40"}
   placements: #01 X 9400 Y 11450 Z FFL+2750  |  front faces: any → rot_z 0°
Build the generator, test it on the first item, then build and place all items in order. Ask me only if a placement point clearly falls outside the building.</t>
  </si>
  <si>
    <t xml:space="preserve">TASK: Generate the light led strip family — 10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LIGHT_LED_STRIP
Write a function build_light_led_strip(**params) that returns the asset root.
Geometry recipe: LED strip 12×8 profile along the given line (or the outline of the host for under-bed / cove).
Default parameters (mm): {"cct": 2700, "H": 10}
Host type: host.
ITEMS
1. VO-07 — Void over GF lounge — Concealed LED under the handrail
   size L×W×H: 3640 × 40 × 10 mm  |  parameters: {}
   placements: #01 X 9290 Y 6420 Z host  |  front faces: any → rot_z 0°
2. MB-22 — Master bedroom — Under-bed LED
   size L×W×H: 2020 × 1869 × 10 mm  |  parameters: {}
   placements: #01 X 2950 Y 5784 Z host  |  front faces: any → rot_z 0°
3. MW-18 — Master walk-in wardrobe — Shelf LEDs (auto-on with doors)
   size L×W×H: 3200 × 40 × 10 mm  |  parameters: {}
   placements: #01 X 835 Y 2000 Z host  |  front faces: any → rot_z 0°
4. MT-19 — Master toilet — Mirror backlight
   size L×W×H: 1300 × 40 × 10 mm  |  parameters: {}
   placements: #01 X 3950 Y 1800 Z host  |  front faces: any → rot_z 0°
5. B1-20 — Bedroom-1 — Under-bed LED
   size L×W×H: 2021 × 1869 × 10 mm  |  parameters: {}
   placements: #01 X 9348 Y 1320 Z host  |  front faces: any → rot_z 0°
6. BW-12 — Bedroom-1 walk-in wardrobe — Shelf LEDs
   size L×W×H: 1900 × 40 × 10 mm  |  parameters: {}
   placements: #01 X 11950 Y 3690 Z host  |  front faces: any → rot_z 0°
7. BT-14 — Bedroom-1 toilet — Mirror backlight
   size L×W×H: 800 × 40 × 10 mm  |  parameters: {}
   placements: #01 X 12915 Y 850 Z host  |  front faces: any → rot_z 0°
8. B2T-18 — Bedroom-2 toilet — Mirror backlight
   size L×W×H: 1000 × 40 × 10 mm  |  parameters: {}
   placements: #01 X 7470 Y 11640 Z host  |  front faces: any → rot_z 0°
9. ST-08 — Staircase — Recessed handrail with LED
   size L×W×H: 3100 × 41 × 10 mm  |  parameters: {"type": "recessed handrail LED"}
   placements: #01 X 6390 Y 2750 Z host  |  front faces: W → rot_z 270°
10. ST-09 — Staircase — Recessed LED step lights
   size L×W×H: 3200 × 40 × 10 mm  |  parameters: {"type": "step lights"}
   placements: #01 X 4310 Y 2750 Z host  |  front faces: any → rot_z 0°
Build the generator, test it on the first item, then build and place all items in order. Ask me only if a placement point clearly falls outside the building.</t>
  </si>
  <si>
    <t xml:space="preserve">TASK: Generate the light spot family — 9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LIGHT_SPOT
Write a function build_light_spot(**params) that returns the asset root.
Geometry recipe: Recessed downlight / uplight / picture light: trim ring Ø90 + recessed can Ø75 × 80 (or a small arm + bar 450 for a picture light, or ground uplight Ø70 × 110).
Default parameters (mm): {"beam_deg": 40, "H": 80}
Host type: ceiling.
ITEMS
1. UL-25 — Upper lounge — Picture light
   size L×W×H: 700 × 40 × 80 mm  |  parameters: {"beam_deg": 40, "type": "picture light"}
   placements: #01 X 8550 Y 4620 Z FFL+2750  |  front faces: N → rot_z 180°
2. VO-08 — Void over GF lounge — Uplight washing the void wall
   size L×W×H: 250 × 250 × 80 mm  |  parameters: {"beam_deg": 40, "type": "uplight"}
   placements: #01 X 12800 Y 6400 Z FFL+2750  |  front faces: any → rot_z 0°
3. MW-20 — Master walk-in wardrobe — Mirror-side lighting
   size L×W×H: 160 × 160 × 80 mm  |  parameters: {"beam_deg": 40, "type": "mirror light"}
   placements: #01 X 1250 Y 340 Z FFL+2750  |  front faces: any → rot_z 0°
4. MT-20 — Master toilet — Niche LED
   size L×W×H: 150 × 150 × 80 mm  |  parameters: {"beam_deg": 40, "type": "niche"}
   placements: #01 X 2420 Y 3150 Z FFL+2750  |  front faces: any → rot_z 0°
5. MT-21 — Master toilet — Shower downlight
   size L×W×H: 200 × 200 × 80 mm  |  parameters: {"beam_deg": 40, "type": "shower downlight"}
   placements: #01 X 3200 Y 3150 Z FFL+2750  |  front faces: any → rot_z 0°
6. LB-18 — Large balcony — Planter uplights
   size L×W×H: 150 × 150 × 80 mm  |  parameters: {"beam_deg": 40, "type": "planter uplight"}
   placements: #01 X 550 Y 11850 Z FFL+2750; #02 X 3700 Y 11850 Z FFL+2750  |  front faces: any → rot_z 0°
7. LB-19 — Large balcony — Wall washers on the niche
   size L×W×H: 200 × 200 × 80 mm  |  parameters: {"beam_deg": 40, "type": "wall washer"}
   placements: #01 X 3900 Y 10650 Z FFL+2750  |  front faces: any → rot_z 0°
8. SB-12 — Small balcony — Wall washer
   size L×W×H: 160 × 160 × 80 mm  |  parameters: {"beam_deg": 40, "type": "wall washer"}
   placements: #01 X 12600 Y 12000 Z FFL+2750  |  front faces: any → rot_z 0°
9. LL-07 — Lift lobby (in upper lounge) — Downlight
   size L×W×H: 200 × 200 × 80 mm  |  parameters: {"beam_deg": 40, "type": "downlight"}
   placements: #01 X 5050 Y 7900 Z FFL+2750  |  front faces: any → rot_z 0°
Build the generator, test it on the first item, then build and place all items in order. Ask me only if a placement point clearly falls outside the building.</t>
  </si>
  <si>
    <t xml:space="preserve">TASK: Generate the ceiling fan family — 3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CEILING_FAN
Write a function build_ceiling_fan(**params) that returns the asset root.
Geometry recipe: Canopy Ø150 + downrod Ø25 × 150 + motor housing Ø200 × 120 + 3 blades span/2 long, 140 wide, 8 thick, 12° pitch.
Default parameters (mm): {"blades": 3, "span": 1320, "finish": "bronze + walnut", "H": 400}
Host type: ceiling.
ITEMS
1. MB-24 — Master bedroom — Designer bronze-and-walnut ceiling fan
   size L×W×H: 1200 × 1200 × 400 mm  |  parameters: {"blades": 3, "span": 1320}
   placements: #01 X 1400 Y 6000 Z FFL+2750  |  front faces: any → rot_z 0°
2. B1-21 — Bedroom-1 — Designer ceiling fan
   size L×W×H: 1200 × 1200 × 400 mm  |  parameters: {"blades": 3, "span": 1320}
   placements: #01 X 9348 Y 2900 Z FFL+2750  |  front faces: any → rot_z 0°
3. B2-19 — Bedroom-2 (+ vestibule) — Designer ceiling fan
   size L×W×H: 1100 × 1100 × 400 mm  |  parameters: {"blades": 3, "span": 1320}
   placements: #01 X 9410 Y 10300 Z FFL+2750  |  front faces: any → rot_z 0°
Build the generator, test it on the first item, then build and place all items in order. Ask me only if a placement point clearly falls outside the building.</t>
  </si>
  <si>
    <t xml:space="preserve">TASK: Generate the rug family — 10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RUG
Write a function build_rug(**params) that returns the asset root.
Geometry recipe: Rug slab L×W×pile with 5 mm bevelled edge; shag variant = displaced grid (12 mm noise); bath mat with a waffle grid relief (28 mm cells, 4 mm deep).
Default parameters (mm): {"pile": "low", "edge_bevel": 5, "pattern": "tonal", "H": 12}
Host type: floor.
ITEMS
1. UL-26 — Upper lounge — Hand-knotted wool-silk rug 2400×1700
   size L×W×H: 2400 × 1700 × 12 mm  |  parameters: {"pile": "low", "edge_bevel": 5, "pattern": "default"}
   placements: #01 X 6750 Y 6300 Z FFL+0  |  front faces: any → rot_z 0°
2. MB-26 — Master bedroom — Hand-knotted rug 2400×3000
   size L×W×H: 3000 × 2400 × 12 mm  |  parameters: {"pile": "low", "edge_bevel": 5, "pattern": "tonal"}
   placements: #01 X 2600 Y 5800 Z FFL+0  |  front faces: any → rot_z 0°
3. MW-21 — Master walk-in wardrobe — Wool runner 600×2400
   size L×W×H: 2400 × 600 × 12 mm  |  parameters: {"pile": "low", "edge_bevel": 5, "pattern": "tonal"}
   placements: #01 X 1250 Y 2350 Z FFL+0  |  front faces: any → rot_z 0°
4. MT-24 — Master toilet — Plush bath mat
   size L×W×H: 600 × 500 × 12 mm  |  parameters: {"pile": "low", "edge_bevel": 5, "pattern": "bath mat"}
   placements: #01 X 3000 Y 1550 Z FFL+0  |  front faces: any → rot_z 0°
5. B1-23 — Bedroom-1 — Hand-knotted rug 2400×3000
   size L×W×H: 3000 × 2400 × 12 mm  |  parameters: {"pile": "low", "edge_bevel": 5, "pattern": "tonal"}
   placements: #01 X 9348 Y 2400 Z FFL+0  |  front faces: any → rot_z 0°
6. BW-14 — Bedroom-1 walk-in wardrobe — Wool runner
   size L×W×H: 1250 × 700 × 12 mm  |  parameters: {"pile": "low", "edge_bevel": 5, "pattern": "tonal"}
   placements: #01 X 11675 Y 3150 Z FFL+0  |  front faces: any → rot_z 0°
7. BT-17 — Bedroom-1 toilet — Plush bath mat
   size L×W×H: 600 × 400 × 12 mm  |  parameters: {"pile": "low", "edge_bevel": 5, "pattern": "bath mat"}
   placements: #01 X 11600 Y 1500 Z FFL+0  |  front faces: any → rot_z 0°
8. B2-21 — Bedroom-2 (+ vestibule) — Hand-knotted rug 2000×2400
   size L×W×H: 2400 × 2000 × 12 mm  |  parameters: {"pile": "low", "edge_bevel": 5, "pattern": "tonal"}
   placements: #01 X 9410 Y 10400 Z FFL+0  |  front faces: any → rot_z 0°
9. B2T-21 — Bedroom-2 toilet — Plush bath mat
   size L×W×H: 700 × 400 × 12 mm  |  parameters: {"pile": "low", "edge_bevel": 5, "pattern": "bath mat"}
   placements: #01 X 5850 Y 10950 Z FFL+0  |  front faces: any → rot_z 0°
10. LB-20 — Large balcony — Solution-dyed outdoor rug
   size L×W×H: 2600 × 1200 × 12 mm  |  parameters: {"pile": "low", "edge_bevel": 5, "pattern": "default"}
   placements: #01 X 2100 Y 9900 Z FFL+0  |  front faces: any → rot_z 0°
Build the generator, test it on the first item, then build and place all items in order. Ask me only if a placement point clearly falls outside the building.</t>
  </si>
  <si>
    <t xml:space="preserve">TASK: Generate the curtain family — 5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CURTAIN
Write a function build_curtain(**params) that returns the asset root.
Geometry recipe: Track along the opening (ceiling channel 30×30); curtain = surface hung from the track with sine folds (fold_pitch 160, amplitude 30 mm, fullness 2.2), floor gap 10; height H; sheer + blackout as two separate surfaces 100 mm apart; give the surfaces 1–2 mm thickness (solidify, applied).
Default parameters (mm): {"fullness": 2.2, "fold_pitch": 160, "track": "motorised ceiling", "layers": "blackout+sheer", "H": 2700}
Host type: wall.
ITEMS
1. VO-06 — Void over GF lounge — Full-height motorised silk-linen sheers on the courtyard side
   size L×W×H: 3640 × 45 × 6100 mm  |  parameters: {"fullness": 2.2, "fold_pitch": 160, "track": "motorised ceiling", "layers": "sheer, full height"}
   placements: #01 X 12982 Y 6420 Z FFL+0  |  front faces: W → rot_z 270°
2. MB-25 — Master bedroom — Motorised silk-blend blackout drapes with ivory sheers
   size L×W×H: 2840 × 47 × 2700 mm  |  parameters: {"fullness": 2.2, "fold_pitch": 160, "track": "motorised ceiling", "layers": "blackout+sheer"}
   placements: #01 X 1680 Y 8254 Z FFL+0  |  front faces: S → rot_z 0°
3. B1-22 — Bedroom-1 — Motorised drapes with sheers
   size L×W×H: 995 × 40 × 2700 mm  |  parameters: {"fullness": 2.2, "fold_pitch": 160, "track": "motorised ceiling", "layers": "blackout+sheer"}
   placements: #01 X 7260 Y 250 Z FFL+0  |  front faces: N → rot_z 180°
4. B2-20 — Bedroom-2 (+ vestibule) — Motorised drapes with sheers
   size L×W×H: 1668 × 41 × 2700 mm  |  parameters: {"fullness": 2.2, "fold_pitch": 160, "track": "motorised ceiling", "layers": "blackout+sheer"}
   placements: #01 X 11500 Y 11009 Z FFL+0  |  front faces: W → rot_z 270°
5. LB-22 — Large balcony — Linen outdoor curtain on one side
   size L×W×H: 3400 × 40 × 2700 mm  |  parameters: {"fullness": 2.2, "fold_pitch": 160, "track": "motorised ceiling", "layers": "default"}
   placements: #01 X 250 Y 10400 Z FFL+0  |  front faces: E → rot_z 90°
Build the generator, test it on the first item, then build and place all items in order. Ask me only if a placement point clearly falls outside the building.</t>
  </si>
  <si>
    <t xml:space="preserve">TASK: Generate the soft set family — 12 item(s), meshes only.
CONTEXT
You are connected to a live Blender session. Generate MESH GEOMETRY ONLY for first-floor items, family by family, from first principles: write your own clean parametric Python generator for this family (one function, parameters in → mesh out) using bpy/bmesh. Do not use, import or look for any existing asset library or scripts. No materials, no material slots, no textures, no shaders, no lights.
MESH RULES
- Units: parameters in millimetres; Blender scene in metres (1 mm = 0.001).
- Local frame of every asset: Z up, FRONT facing −Y, origin = bottom-centre of the footprint (floor items), back-centre on the wall plane (wall items), top-centre at the mount point (ceiling-hung items). Room-wide items (floors, wall skins, soffits, panel systems) are built directly in plan coordinates.
- Quality: closed, manifold solids wherever the object is solid; consistent outward normals; no zero-area faces or loose vertices; no interpenetrating parts inside one asset; soft edges by real bevels / subdivision that you APPLY (no live modifiers left); scale applied (1,1,1); triangle budget ≈ 5–40k per furniture asset, ≤ 5k for small accessories.
- Keep logical parts as separate named objects parented to the asset root (e.g. frame, cushion, top, legs, glass) so materials can be assigned later — but assign none.
- UVs: add one UV map with a simple real-world box projection (1 UV unit = 1 m) so the mesh is ready for later texturing. Smooth shading with sharp edges marked above 30°.
- Material words in item names (walnut, marble, velvet, brass…) identify the item only — ignore them for geometry.
PLACEMENT RULES
- Plan coordinates X, Y in mm on the first-floor plan (X east, Y north) → Blender X = X/1000, Y = Y/1000.
- First-floor finished floor level FFL = +3.348 m. Z values are relative to FFL ("host" = snap onto the top of the object under that point).
- Put the asset origin on the listed point, then rotate about Z by rot_z so the front faces the listed direction (S = 0°, E = 90°, N = 180°, W = 270°).
- Items with several placements: build the mesh ONCE and place linked duplicates (shared mesh data).
- Naming: asset root SM_FF_&lt;CODE&gt;_&lt;NN&gt; (e.g. SM_FF_UL_01_02); mesh data SM_FF_&lt;FAMILY&gt;_&lt;CODE&gt;. Collections: FF_Meshes › FF_&lt;SpaceCode&gt; (UL, VO, MB, MW, MT, B1, BW, BT, B2, B2T, LB, SB, ST, LL).
- After placing, check bounding-box overlaps &gt; 2 mm between new assets and with existing scene geometry; list them, do not move anything silently.
REPORT AT THE END (table): code · built OK / failed · instances placed · triangle count · manifold yes/no · overlaps. Save a copy of the .blend as FF_&lt;FAMILY&gt;_meshes.blend (do not overwrite the open file).
FAMILY GENERATOR — SOFT_SET
Write a function build_soft_set(**params) that returns the asset root.
Geometry recipe: Soft items on their host: cushions (square 500×500×170 with puffed faces and piping), bolster (cylinder Ø220 × 450), folded throw / bed runner (4 stacked folded layers with rounded edges), rolled towels (spiral cylinders), folded towels (3 layers).
Default parameters (mm): {"items": "auto", "H": 150}
Host type: host.
ITEMS
1. UL-27 — Upper lounge — Velvet cushions in charcoal and pale grey
   size L×W×H: 250 × 250 × 150 mm  |  parameters: {"items": "cushion"}
   placements: #01 X 5400 Y 6200 Z host  |  front faces: any → rot_z 0°
2. UL-28 — Upper lounge — Bouclé throw
   size L×W×H: 250 × 250 × 150 mm  |  parameters: {"items": "throw"}
   placements: #01 X 5400 Y 6900 Z host  |  front faces: any → rot_z 0°
3. MB-27 — Master bedroom — Cushion set, bed runner, olive throw
   size L×W×H: 250 × 250 × 150 mm  |  parameters: {"items": "cushion + throw + runner"}
   placements: #01 X 3000 Y 5783 Z host  |  front faces: any → rot_z 0°
4. MT-12 — Master toilet — Rolled towels
   size L×W×H: 250 × 250 × 150 mm  |  parameters: {"items": "towels + towel"}
   placements: #01 X 3720 Y 1150 Z host  |  front faces: any → rot_z 0°
5. MT-23 — Master toilet — Egyptian-cotton towels in plum and ivory
   size L×W×H: 250 × 250 × 150 mm  |  parameters: {"items": "towels + towel"}
   placements: #01 X 2450 Y 700 Z host  |  front faces: any → rot_z 0°
6. B1-24 — Bedroom-1 — Cushions and throw
   size L×W×H: 250 × 250 × 150 mm  |  parameters: {"items": "cushion + throw"}
   placements: #01 X 9348 Y 800 Z host  |  front faces: any → rot_z 0°
7. BT-16 — Bedroom-1 toilet — Egyptian-cotton towels
   size L×W×H: 250 × 250 × 150 mm  |  parameters: {"items": "towels + towel"}
   placements: #01 X 11100 Y 1650 Z host  |  front faces: any → rot_z 0°
8. B2-22 — Bedroom-2 (+ vestibule) — Cushions and throw
   size L×W×H: 250 × 250 × 150 mm  |  parameters: {"items": "cushion + throw"}
   placements: #01 X 9410 Y 8900 Z host  |  front faces: any → rot_z 0°
9. B2T-11 — Bedroom-2 toilet — Rolled towels
   size L×W×H: 250 × 250 × 150 mm  |  parameters: {"items": "towels + towel"}
   placements: #01 X 5500 Y 10496 Z host  |  front faces: any → rot_z 0°
10. B2T-20 — Bedroom-2 toilet — Egyptian-cotton towels
   size L×W×H: 250 × 250 × 150 mm  |  parameters: {"items": "towels + towel"}
   placements: #01 X 6200 Y 10450 Z host  |  front faces: any → rot_z 0°
11. LB-21 — Large balcony — Outdoor throws
   size L×W×H: 250 × 250 × 150 mm  |  parameters: {"items": "throw"}
   placements: #01 X 1300 Y 9900 Z host  |  front faces: any → rot_z 0°
12. SB-13 — Small balcony — Outdoor cushions and throw
   size L×W×H: 250 × 250 × 150 mm  |  parameters: {"items": "cushion + throw"}
   placements: #01 X 12200 Y 9600 Z host  |  front faces: any → rot_z 0°
Build the generator, test it on the first item, then build and place all items in order. Ask me only if a placement point clearly falls outside the building.</t>
  </si>
  <si>
    <t xml:space="preserve">Space_Code</t>
  </si>
  <si>
    <t xml:space="preserve">X0_mm</t>
  </si>
  <si>
    <t xml:space="preserve">Y0_mm</t>
  </si>
  <si>
    <t xml:space="preserve">X1_mm</t>
  </si>
  <si>
    <t xml:space="preserve">Y1_mm</t>
  </si>
  <si>
    <t xml:space="preserve">UL</t>
  </si>
  <si>
    <t xml:space="preserve">VO</t>
  </si>
  <si>
    <t xml:space="preserve">MB</t>
  </si>
  <si>
    <t xml:space="preserve">MW</t>
  </si>
  <si>
    <t xml:space="preserve">MT</t>
  </si>
  <si>
    <t xml:space="preserve">B1</t>
  </si>
  <si>
    <t xml:space="preserve">BW</t>
  </si>
  <si>
    <t xml:space="preserve">BT</t>
  </si>
  <si>
    <t xml:space="preserve">B2</t>
  </si>
  <si>
    <t xml:space="preserve">B2T</t>
  </si>
  <si>
    <t xml:space="preserve">LB</t>
  </si>
  <si>
    <t xml:space="preserve">SB</t>
  </si>
  <si>
    <t xml:space="preserve">ST</t>
  </si>
  <si>
    <t xml:space="preserve">LL</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</si>
</sst>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2"/>
      <color rgb="FF7A5C3A"/>
      <name val="Arial"/>
      <family val="0"/>
      <charset val="1"/>
    </font>
    <font>
      <sz val="10"/>
      <color rgb="FF222222"/>
      <name val="Arial"/>
      <family val="0"/>
      <charset val="1"/>
    </font>
    <font>
      <b val="true"/>
      <sz val="10.5"/>
      <color rgb="FF7A5C3A"/>
      <name val="Arial"/>
      <family val="0"/>
      <charset val="1"/>
    </font>
    <font>
      <b val="true"/>
      <sz val="10"/>
      <color rgb="FFFFFFFF"/>
      <name val="Arial"/>
      <family val="0"/>
      <charset val="1"/>
    </font>
    <font>
      <sz val="9"/>
      <name val="Arial"/>
      <family val="0"/>
      <charset val="1"/>
    </font>
    <font>
      <b val="true"/>
      <sz val="9"/>
      <name val="Arial"/>
      <family val="0"/>
      <charset val="1"/>
    </font>
    <font>
      <sz val="9"/>
      <color rgb="FF0000FF"/>
      <name val="Arial"/>
      <family val="0"/>
      <charset val="1"/>
    </font>
    <font>
      <i val="true"/>
      <sz val="9"/>
      <name val="Arial"/>
      <family val="0"/>
      <charset val="1"/>
    </font>
    <font>
      <b val="true"/>
      <sz val="11"/>
      <color rgb="FFFFFFFF"/>
      <name val="Arial"/>
      <family val="0"/>
      <charset val="1"/>
    </font>
    <font>
      <sz val="9"/>
      <color rgb="FF000000"/>
      <name val="Arial"/>
      <family val="0"/>
      <charset val="1"/>
    </font>
  </fonts>
  <fills count="37">
    <fill>
      <patternFill patternType="none"/>
    </fill>
    <fill>
      <patternFill patternType="gray125"/>
    </fill>
    <fill>
      <patternFill patternType="solid">
        <fgColor rgb="FF7A5C3A"/>
        <bgColor rgb="FF6D5A46"/>
      </patternFill>
    </fill>
    <fill>
      <patternFill patternType="solid">
        <fgColor rgb="FF5C3B26"/>
        <bgColor rgb="FF6A3F24"/>
      </patternFill>
    </fill>
    <fill>
      <patternFill patternType="solid">
        <fgColor rgb="FFC3A27A"/>
        <bgColor rgb="FFB5A48F"/>
      </patternFill>
    </fill>
    <fill>
      <patternFill patternType="solid">
        <fgColor rgb="FFB48E63"/>
        <bgColor rgb="FFC49A45"/>
      </patternFill>
    </fill>
    <fill>
      <patternFill patternType="solid">
        <fgColor rgb="FF9A6A40"/>
        <bgColor rgb="FF7A5C3A"/>
      </patternFill>
    </fill>
    <fill>
      <patternFill patternType="solid">
        <fgColor rgb="FFE7DDCF"/>
        <bgColor rgb="FFE6DDCF"/>
      </patternFill>
    </fill>
    <fill>
      <patternFill patternType="solid">
        <fgColor rgb="FFB5A48F"/>
        <bgColor rgb="FFC3A27A"/>
      </patternFill>
    </fill>
    <fill>
      <patternFill patternType="solid">
        <fgColor rgb="FFCFC6B8"/>
        <bgColor rgb="FFD6C7AD"/>
      </patternFill>
    </fill>
    <fill>
      <patternFill patternType="solid">
        <fgColor rgb="FF2B2B2E"/>
        <bgColor rgb="FF222222"/>
      </patternFill>
    </fill>
    <fill>
      <patternFill patternType="solid">
        <fgColor rgb="FFD9D3C9"/>
        <bgColor rgb="FFD8D2C6"/>
      </patternFill>
    </fill>
    <fill>
      <patternFill patternType="solid">
        <fgColor rgb="FF7F8A62"/>
        <bgColor rgb="FF8D8A85"/>
      </patternFill>
    </fill>
    <fill>
      <patternFill patternType="solid">
        <fgColor rgb="FF3F5A45"/>
        <bgColor rgb="FF5F6B47"/>
      </patternFill>
    </fill>
    <fill>
      <patternFill patternType="solid">
        <fgColor rgb="FFE7DCE3"/>
        <bgColor rgb="FFE9E4DC"/>
      </patternFill>
    </fill>
    <fill>
      <patternFill patternType="solid">
        <fgColor rgb="FFECEAE6"/>
        <bgColor rgb="FFEFE7DA"/>
      </patternFill>
    </fill>
    <fill>
      <patternFill patternType="solid">
        <fgColor rgb="FFD6C7AD"/>
        <bgColor rgb="FFCFC6B8"/>
      </patternFill>
    </fill>
    <fill>
      <patternFill patternType="solid">
        <fgColor rgb="FFD6CFC3"/>
        <bgColor rgb="FFD9D0C3"/>
      </patternFill>
    </fill>
    <fill>
      <patternFill patternType="solid">
        <fgColor rgb="FF9E9A94"/>
        <bgColor rgb="FFB5A48F"/>
      </patternFill>
    </fill>
    <fill>
      <patternFill patternType="solid">
        <fgColor rgb="FFF1EFEA"/>
        <bgColor rgb="FFF3F1EC"/>
      </patternFill>
    </fill>
    <fill>
      <patternFill patternType="solid">
        <fgColor rgb="FFE9E4DC"/>
        <bgColor rgb="FFEFE7DA"/>
      </patternFill>
    </fill>
    <fill>
      <patternFill patternType="solid">
        <fgColor rgb="FFDCD2C3"/>
        <bgColor rgb="FFDCD3C7"/>
      </patternFill>
    </fill>
    <fill>
      <patternFill patternType="solid">
        <fgColor rgb="FFC49A45"/>
        <bgColor rgb="FFB48E63"/>
      </patternFill>
    </fill>
    <fill>
      <patternFill patternType="solid">
        <fgColor rgb="FF4B3626"/>
        <bgColor rgb="FF5C3B26"/>
      </patternFill>
    </fill>
    <fill>
      <patternFill patternType="solid">
        <fgColor rgb="FF1E1E1E"/>
        <bgColor rgb="FF222222"/>
      </patternFill>
    </fill>
    <fill>
      <patternFill patternType="solid">
        <fgColor rgb="FFE6F4F6"/>
        <bgColor rgb="FFF1EFEA"/>
      </patternFill>
    </fill>
    <fill>
      <patternFill patternType="solid">
        <fgColor rgb="FF6D5A46"/>
        <bgColor rgb="FF7A5C3A"/>
      </patternFill>
    </fill>
    <fill>
      <patternFill patternType="solid">
        <fgColor rgb="FF6A3F24"/>
        <bgColor rgb="FF5C3B26"/>
      </patternFill>
    </fill>
    <fill>
      <patternFill patternType="solid">
        <fgColor rgb="FF7B4A55"/>
        <bgColor rgb="FF6D5A46"/>
      </patternFill>
    </fill>
    <fill>
      <patternFill patternType="solid">
        <fgColor rgb="FFEFE7DA"/>
        <bgColor rgb="FFE9E4DC"/>
      </patternFill>
    </fill>
    <fill>
      <patternFill patternType="solid">
        <fgColor rgb="FFE6DDCF"/>
        <bgColor rgb="FFE7DDCF"/>
      </patternFill>
    </fill>
    <fill>
      <patternFill patternType="solid">
        <fgColor rgb="FFD9D0C3"/>
        <bgColor rgb="FFD6CFC3"/>
      </patternFill>
    </fill>
    <fill>
      <patternFill patternType="solid">
        <fgColor rgb="FF8D8A85"/>
        <bgColor rgb="FF7F8A62"/>
      </patternFill>
    </fill>
    <fill>
      <patternFill patternType="solid">
        <fgColor rgb="FFF3F1EC"/>
        <bgColor rgb="FFF1EFEA"/>
      </patternFill>
    </fill>
    <fill>
      <patternFill patternType="solid">
        <fgColor rgb="FF5F6B47"/>
        <bgColor rgb="FF5F7A5A"/>
      </patternFill>
    </fill>
    <fill>
      <patternFill patternType="solid">
        <fgColor rgb="FFD8D2C6"/>
        <bgColor rgb="FFD9D3C9"/>
      </patternFill>
    </fill>
    <fill>
      <patternFill patternType="solid">
        <fgColor rgb="FF5F7A5A"/>
        <bgColor rgb="FF5F6B47"/>
      </patternFill>
    </fill>
  </fills>
  <borders count="2">
    <border diagonalUp="false" diagonalDown="false">
      <left/>
      <right/>
      <top/>
      <bottom/>
      <diagonal/>
    </border>
    <border diagonalUp="false" diagonalDown="false">
      <left style="thin">
        <color rgb="FFDCD3C7"/>
      </left>
      <right style="thin">
        <color rgb="FFDCD3C7"/>
      </right>
      <top style="thin">
        <color rgb="FFDCD3C7"/>
      </top>
      <bottom style="thin">
        <color rgb="FFDCD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4" fontId="8" fillId="13" borderId="1" xfId="0" applyFont="true" applyBorder="true" applyAlignment="true" applyProtection="false">
      <alignment horizontal="general"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4" fontId="8" fillId="16" borderId="1" xfId="0" applyFont="true" applyBorder="true" applyAlignment="true" applyProtection="false">
      <alignment horizontal="general" vertical="top" textRotation="0" wrapText="true" indent="0" shrinkToFit="false"/>
      <protection locked="true" hidden="false"/>
    </xf>
    <xf numFmtId="164" fontId="8" fillId="17" borderId="1" xfId="0" applyFont="true" applyBorder="true" applyAlignment="true" applyProtection="false">
      <alignment horizontal="general" vertical="top" textRotation="0" wrapText="true" indent="0" shrinkToFit="false"/>
      <protection locked="true" hidden="false"/>
    </xf>
    <xf numFmtId="164" fontId="8" fillId="18" borderId="1" xfId="0" applyFont="true" applyBorder="true" applyAlignment="true" applyProtection="false">
      <alignment horizontal="general" vertical="top" textRotation="0" wrapText="true" indent="0" shrinkToFit="false"/>
      <protection locked="true" hidden="false"/>
    </xf>
    <xf numFmtId="164" fontId="8" fillId="19" borderId="1" xfId="0" applyFont="true" applyBorder="true" applyAlignment="true" applyProtection="false">
      <alignment horizontal="general" vertical="top" textRotation="0" wrapText="true" indent="0" shrinkToFit="false"/>
      <protection locked="true" hidden="false"/>
    </xf>
    <xf numFmtId="164" fontId="8" fillId="20" borderId="1" xfId="0" applyFont="true" applyBorder="true" applyAlignment="true" applyProtection="false">
      <alignment horizontal="general" vertical="top" textRotation="0" wrapText="true" indent="0" shrinkToFit="false"/>
      <protection locked="true" hidden="false"/>
    </xf>
    <xf numFmtId="164" fontId="8" fillId="21" borderId="1" xfId="0" applyFont="true" applyBorder="true" applyAlignment="true" applyProtection="false">
      <alignment horizontal="general" vertical="top" textRotation="0" wrapText="true" indent="0" shrinkToFit="false"/>
      <protection locked="true" hidden="false"/>
    </xf>
    <xf numFmtId="164" fontId="8" fillId="22" borderId="1" xfId="0" applyFont="true" applyBorder="true" applyAlignment="true" applyProtection="false">
      <alignment horizontal="general" vertical="top" textRotation="0" wrapText="true" indent="0" shrinkToFit="false"/>
      <protection locked="true" hidden="false"/>
    </xf>
    <xf numFmtId="164" fontId="8" fillId="23" borderId="1" xfId="0" applyFont="true" applyBorder="true" applyAlignment="true" applyProtection="false">
      <alignment horizontal="general" vertical="top" textRotation="0" wrapText="true" indent="0" shrinkToFit="false"/>
      <protection locked="true" hidden="false"/>
    </xf>
    <xf numFmtId="164" fontId="8" fillId="24" borderId="1" xfId="0" applyFont="true" applyBorder="true" applyAlignment="true" applyProtection="false">
      <alignment horizontal="general" vertical="top" textRotation="0" wrapText="true" indent="0" shrinkToFit="false"/>
      <protection locked="true" hidden="false"/>
    </xf>
    <xf numFmtId="164" fontId="8" fillId="25" borderId="1" xfId="0" applyFont="true" applyBorder="true" applyAlignment="true" applyProtection="false">
      <alignment horizontal="general" vertical="top" textRotation="0" wrapText="true" indent="0" shrinkToFit="false"/>
      <protection locked="true" hidden="false"/>
    </xf>
    <xf numFmtId="164" fontId="8" fillId="26" borderId="1" xfId="0" applyFont="true" applyBorder="true" applyAlignment="true" applyProtection="false">
      <alignment horizontal="general" vertical="top" textRotation="0" wrapText="true" indent="0" shrinkToFit="false"/>
      <protection locked="true" hidden="false"/>
    </xf>
    <xf numFmtId="164" fontId="8" fillId="27" borderId="1" xfId="0" applyFont="true" applyBorder="true" applyAlignment="true" applyProtection="false">
      <alignment horizontal="general" vertical="top" textRotation="0" wrapText="true" indent="0" shrinkToFit="false"/>
      <protection locked="true" hidden="false"/>
    </xf>
    <xf numFmtId="164" fontId="8" fillId="28" borderId="1" xfId="0" applyFont="true" applyBorder="true" applyAlignment="true" applyProtection="false">
      <alignment horizontal="general" vertical="top" textRotation="0" wrapText="true" indent="0" shrinkToFit="false"/>
      <protection locked="true" hidden="false"/>
    </xf>
    <xf numFmtId="164" fontId="8" fillId="29" borderId="1" xfId="0" applyFont="true" applyBorder="true" applyAlignment="true" applyProtection="false">
      <alignment horizontal="general" vertical="top" textRotation="0" wrapText="true" indent="0" shrinkToFit="false"/>
      <protection locked="true" hidden="false"/>
    </xf>
    <xf numFmtId="164" fontId="8" fillId="30" borderId="1" xfId="0" applyFont="true" applyBorder="true" applyAlignment="true" applyProtection="false">
      <alignment horizontal="general" vertical="top" textRotation="0" wrapText="true" indent="0" shrinkToFit="false"/>
      <protection locked="true" hidden="false"/>
    </xf>
    <xf numFmtId="164" fontId="8" fillId="31" borderId="1" xfId="0" applyFont="true" applyBorder="true" applyAlignment="true" applyProtection="false">
      <alignment horizontal="general" vertical="top" textRotation="0" wrapText="true" indent="0" shrinkToFit="false"/>
      <protection locked="true" hidden="false"/>
    </xf>
    <xf numFmtId="164" fontId="8" fillId="32" borderId="1" xfId="0" applyFont="true" applyBorder="true" applyAlignment="true" applyProtection="false">
      <alignment horizontal="general" vertical="top" textRotation="0" wrapText="true" indent="0" shrinkToFit="false"/>
      <protection locked="true" hidden="false"/>
    </xf>
    <xf numFmtId="164" fontId="8" fillId="33" borderId="1" xfId="0" applyFont="true" applyBorder="true" applyAlignment="true" applyProtection="false">
      <alignment horizontal="general" vertical="top" textRotation="0" wrapText="true" indent="0" shrinkToFit="false"/>
      <protection locked="true" hidden="false"/>
    </xf>
    <xf numFmtId="164" fontId="8" fillId="34" borderId="1" xfId="0" applyFont="true" applyBorder="true" applyAlignment="true" applyProtection="false">
      <alignment horizontal="general" vertical="top" textRotation="0" wrapText="true" indent="0" shrinkToFit="false"/>
      <protection locked="true" hidden="false"/>
    </xf>
    <xf numFmtId="164" fontId="8" fillId="35" borderId="1" xfId="0" applyFont="true" applyBorder="true" applyAlignment="true" applyProtection="false">
      <alignment horizontal="general" vertical="top" textRotation="0" wrapText="true" indent="0" shrinkToFit="false"/>
      <protection locked="true" hidden="false"/>
    </xf>
    <xf numFmtId="164" fontId="8" fillId="36"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7A5C3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E7DDCF"/>
      <rgbColor rgb="FFFF00FF"/>
      <rgbColor rgb="FF00FFFF"/>
      <rgbColor rgb="FF800000"/>
      <rgbColor rgb="FF008000"/>
      <rgbColor rgb="FF000080"/>
      <rgbColor rgb="FF9A6A40"/>
      <rgbColor rgb="FF800080"/>
      <rgbColor rgb="FF5F6B47"/>
      <rgbColor rgb="FFCFC6B8"/>
      <rgbColor rgb="FF8D8A85"/>
      <rgbColor rgb="FFB48E63"/>
      <rgbColor rgb="FF7B4A55"/>
      <rgbColor rgb="FFF3F1EC"/>
      <rgbColor rgb="FFE6F4F6"/>
      <rgbColor rgb="FF5C3B26"/>
      <rgbColor rgb="FFC3A27A"/>
      <rgbColor rgb="FF0066CC"/>
      <rgbColor rgb="FFD9D3C9"/>
      <rgbColor rgb="FF000080"/>
      <rgbColor rgb="FFFF00FF"/>
      <rgbColor rgb="FFE6DDCF"/>
      <rgbColor rgb="FF00FFFF"/>
      <rgbColor rgb="FF800080"/>
      <rgbColor rgb="FF800000"/>
      <rgbColor rgb="FF6D5A46"/>
      <rgbColor rgb="FF0000FF"/>
      <rgbColor rgb="FFE9E4DC"/>
      <rgbColor rgb="FFF1EFEA"/>
      <rgbColor rgb="FFECEAE6"/>
      <rgbColor rgb="FFEFE7DA"/>
      <rgbColor rgb="FFD6CFC3"/>
      <rgbColor rgb="FFD9D0C3"/>
      <rgbColor rgb="FFB5A48F"/>
      <rgbColor rgb="FFD6C7AD"/>
      <rgbColor rgb="FF3366FF"/>
      <rgbColor rgb="FFDCD3C7"/>
      <rgbColor rgb="FFD8D2C6"/>
      <rgbColor rgb="FFDCD2C3"/>
      <rgbColor rgb="FFC49A45"/>
      <rgbColor rgb="FFE7DCE3"/>
      <rgbColor rgb="FF5F7A5A"/>
      <rgbColor rgb="FF9E9A94"/>
      <rgbColor rgb="FF222222"/>
      <rgbColor rgb="FF7F8A62"/>
      <rgbColor rgb="FF1E1E1E"/>
      <rgbColor rgb="FF4B3626"/>
      <rgbColor rgb="FF6A3F24"/>
      <rgbColor rgb="FF7A5C3A"/>
      <rgbColor rgb="FF3F5A45"/>
      <rgbColor rgb="FF2B2B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Items" displayName="Items" ref="A1:X260" headerRowCount="1" totalsRowCount="0" totalsRowShown="0">
  <autoFilter ref="A1:X260"/>
  <tableColumns count="24">
    <tableColumn id="1" name="Item_Code"/>
    <tableColumn id="2" name="Space"/>
    <tableColumn id="3" name="Category"/>
    <tableColumn id="4" name="Item (rev 3 wording)"/>
    <tableColumn id="5" name="Family"/>
    <tableColumn id="6" name="Generator"/>
    <tableColumn id="7" name="Host"/>
    <tableColumn id="8" name="Qty"/>
    <tableColumn id="9" name="L_mm"/>
    <tableColumn id="10" name="W_mm"/>
    <tableColumn id="11" name="H_mm"/>
    <tableColumn id="12" name="Pos_X_mm"/>
    <tableColumn id="13" name="Pos_Y_mm"/>
    <tableColumn id="14" name="Pos_Z_mm"/>
    <tableColumn id="15" name="Rot_Z_deg"/>
    <tableColumn id="16" name="Faces"/>
    <tableColumn id="17" name="Params_JSON"/>
    <tableColumn id="18" name="Material_Slots"/>
    <tableColumn id="19" name="Detailed_Description"/>
    <tableColumn id="20" name="Mesh_Asset"/>
    <tableColumn id="21" name="UE_Name"/>
    <tableColumn id="22" name="Nanite"/>
    <tableColumn id="23" name="LOD_Target"/>
    <tableColumn id="24" name="Fit_Note"/>
  </tableColumns>
</table>
</file>

<file path=xl/tables/table2.xml><?xml version="1.0" encoding="utf-8"?>
<table xmlns="http://schemas.openxmlformats.org/spreadsheetml/2006/main" id="2" name="Placements" displayName="Placements" ref="A1:K292" headerRowCount="1" totalsRowCount="0" totalsRowShown="0">
  <autoFilter ref="A1:K292"/>
  <tableColumns count="11">
    <tableColumn id="1" name="Item_Code"/>
    <tableColumn id="2" name="Instance"/>
    <tableColumn id="3" name="Mesh_Asset"/>
    <tableColumn id="4" name="X_mm"/>
    <tableColumn id="5" name="Y_mm"/>
    <tableColumn id="6" name="Z_mm"/>
    <tableColumn id="7" name="Rot_Z_deg"/>
    <tableColumn id="8" name="Footprint_L_mm"/>
    <tableColumn id="9" name="Footprint_W_mm"/>
    <tableColumn id="10" name="H_mm"/>
    <tableColumn id="11" name="Object_Nam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0"/>
  </cols>
  <sheetData>
    <row r="1" customFormat="false" ht="15" hidden="false" customHeight="true" outlineLevel="0" collapsed="false">
      <c r="A1" s="2" t="s">
        <v>0</v>
      </c>
    </row>
    <row r="2" customFormat="false" ht="23.25" hidden="false" customHeight="true" outlineLevel="0" collapsed="false">
      <c r="A2" s="3" t="s">
        <v>1</v>
      </c>
    </row>
    <row r="3" customFormat="false" ht="15" hidden="false" customHeight="true" outlineLevel="0" collapsed="false">
      <c r="A3" s="3"/>
    </row>
    <row r="4" customFormat="false" ht="15" hidden="false" customHeight="true" outlineLevel="0" collapsed="false">
      <c r="A4" s="4" t="s">
        <v>2</v>
      </c>
    </row>
    <row r="5" customFormat="false" ht="15" hidden="false" customHeight="true" outlineLevel="0" collapsed="false">
      <c r="A5" s="3" t="s">
        <v>3</v>
      </c>
    </row>
    <row r="6" customFormat="false" ht="23.25" hidden="false" customHeight="true" outlineLevel="0" collapsed="false">
      <c r="A6" s="3" t="s">
        <v>4</v>
      </c>
    </row>
    <row r="7" customFormat="false" ht="15" hidden="false" customHeight="true" outlineLevel="0" collapsed="false">
      <c r="A7" s="3" t="s">
        <v>5</v>
      </c>
    </row>
    <row r="8" customFormat="false" ht="15" hidden="false" customHeight="true" outlineLevel="0" collapsed="false">
      <c r="A8" s="3" t="s">
        <v>6</v>
      </c>
    </row>
    <row r="9" customFormat="false" ht="15" hidden="false" customHeight="true" outlineLevel="0" collapsed="false">
      <c r="A9" s="3"/>
    </row>
    <row r="10" customFormat="false" ht="15" hidden="false" customHeight="true" outlineLevel="0" collapsed="false">
      <c r="A10" s="4"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row r="14" customFormat="false" ht="1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3"/>
    </row>
    <row r="17" customFormat="false" ht="15" hidden="false" customHeight="true" outlineLevel="0" collapsed="false">
      <c r="A17" s="4" t="s">
        <v>13</v>
      </c>
    </row>
    <row r="18" customFormat="false" ht="23.25" hidden="false" customHeight="true" outlineLevel="0" collapsed="false">
      <c r="A18" s="3" t="s">
        <v>14</v>
      </c>
    </row>
    <row r="19" customFormat="false" ht="15" hidden="false" customHeight="true" outlineLevel="0" collapsed="false">
      <c r="A19" s="3" t="s">
        <v>15</v>
      </c>
    </row>
    <row r="20" customFormat="false" ht="15" hidden="false" customHeight="true" outlineLevel="0" collapsed="false">
      <c r="A20" s="3"/>
    </row>
    <row r="21" customFormat="false" ht="15" hidden="false" customHeight="true" outlineLevel="0" collapsed="false">
      <c r="A21" s="4" t="s">
        <v>16</v>
      </c>
    </row>
    <row r="22" customFormat="false" ht="15" hidden="false" customHeight="true" outlineLevel="0" collapsed="false">
      <c r="A22" s="3"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row>
    <row r="26" customFormat="false" ht="23.25" hidden="false" customHeight="true" outlineLevel="0" collapsed="false">
      <c r="A26" s="3" t="s">
        <v>20</v>
      </c>
    </row>
    <row r="27" customFormat="false" ht="15" hidden="false" customHeight="true" outlineLevel="0" collapsed="false">
      <c r="A27" s="3"/>
    </row>
    <row r="28" customFormat="false" ht="15" hidden="false" customHeight="true" outlineLevel="0" collapsed="false">
      <c r="A28" s="4" t="s">
        <v>21</v>
      </c>
    </row>
    <row r="29" customFormat="false" ht="23.25" hidden="false" customHeight="true" outlineLevel="0" collapsed="false">
      <c r="A29" s="3" t="s">
        <v>22</v>
      </c>
    </row>
    <row r="31" customFormat="false" ht="15" hidden="false" customHeight="true" outlineLevel="0" collapsed="false"/>
    <row r="32" customFormat="false" ht="23.25" hidden="false" customHeight="true" outlineLevel="0" collapsed="false"/>
    <row r="33" customFormat="false" ht="15" hidden="false" customHeight="true" outlineLevel="0" collapsed="false"/>
    <row r="34"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4" min="3" style="1" width="10"/>
    <col collapsed="false" customWidth="true" hidden="false" outlineLevel="0" max="5" min="5" style="1" width="18"/>
    <col collapsed="false" customWidth="true" hidden="false" outlineLevel="0" max="6" min="6" style="1" width="13"/>
    <col collapsed="false" customWidth="true" hidden="false" outlineLevel="0" max="7" min="7" style="1" width="16"/>
    <col collapsed="false" customWidth="true" hidden="false" outlineLevel="0" max="8" min="8" style="1" width="10"/>
  </cols>
  <sheetData>
    <row r="1" customFormat="false" ht="31.5" hidden="false" customHeight="true" outlineLevel="0" collapsed="false">
      <c r="A1" s="5" t="s">
        <v>23</v>
      </c>
      <c r="B1" s="5" t="s">
        <v>24</v>
      </c>
      <c r="C1" s="5" t="s">
        <v>25</v>
      </c>
      <c r="D1" s="5" t="s">
        <v>26</v>
      </c>
      <c r="E1" s="5" t="s">
        <v>27</v>
      </c>
      <c r="F1" s="5" t="s">
        <v>28</v>
      </c>
      <c r="G1" s="5" t="s">
        <v>29</v>
      </c>
      <c r="H1" s="5" t="s">
        <v>30</v>
      </c>
    </row>
    <row r="2" customFormat="false" ht="15" hidden="false" customHeight="true" outlineLevel="0" collapsed="false">
      <c r="A2" s="6" t="s">
        <v>31</v>
      </c>
      <c r="B2" s="6" t="n">
        <f aca="false">COUNTIFS(Items!$B:$B,$A2,Items!$C:$C,"Furniture")</f>
        <v>8</v>
      </c>
      <c r="C2" s="6" t="n">
        <f aca="false">COUNTIFS(Items!$B:$B,$A2,Items!$C:$C,"Décor")</f>
        <v>7</v>
      </c>
      <c r="D2" s="6" t="n">
        <f aca="false">COUNTIFS(Items!$B:$B,$A2,Items!$C:$C,"Finish")</f>
        <v>6</v>
      </c>
      <c r="E2" s="6" t="n">
        <f aca="false">COUNTIFS(Items!$B:$B,$A2,Items!$C:$C,"Lighting / textile")</f>
        <v>7</v>
      </c>
      <c r="F2" s="7" t="n">
        <f aca="false">SUM(B2:E2)</f>
        <v>28</v>
      </c>
      <c r="G2" s="8" t="n">
        <v>28</v>
      </c>
      <c r="H2" s="7" t="str">
        <f aca="false">IF(F2=G2,"OK","MISMATCH")</f>
        <v>OK</v>
      </c>
    </row>
    <row r="3" customFormat="false" ht="15" hidden="false" customHeight="true" outlineLevel="0" collapsed="false">
      <c r="A3" s="6" t="s">
        <v>32</v>
      </c>
      <c r="B3" s="6" t="n">
        <f aca="false">COUNTIFS(Items!$B:$B,$A3,Items!$C:$C,"Furniture")</f>
        <v>1</v>
      </c>
      <c r="C3" s="6" t="n">
        <f aca="false">COUNTIFS(Items!$B:$B,$A3,Items!$C:$C,"Décor")</f>
        <v>2</v>
      </c>
      <c r="D3" s="6" t="n">
        <f aca="false">COUNTIFS(Items!$B:$B,$A3,Items!$C:$C,"Finish")</f>
        <v>2</v>
      </c>
      <c r="E3" s="6" t="n">
        <f aca="false">COUNTIFS(Items!$B:$B,$A3,Items!$C:$C,"Lighting / textile")</f>
        <v>3</v>
      </c>
      <c r="F3" s="7" t="n">
        <f aca="false">SUM(B3:E3)</f>
        <v>8</v>
      </c>
      <c r="G3" s="8" t="n">
        <v>8</v>
      </c>
      <c r="H3" s="7" t="str">
        <f aca="false">IF(F3=G3,"OK","MISMATCH")</f>
        <v>OK</v>
      </c>
    </row>
    <row r="4" customFormat="false" ht="15" hidden="false" customHeight="true" outlineLevel="0" collapsed="false">
      <c r="A4" s="6" t="s">
        <v>33</v>
      </c>
      <c r="B4" s="6" t="n">
        <f aca="false">COUNTIFS(Items!$B:$B,$A4,Items!$C:$C,"Furniture")</f>
        <v>7</v>
      </c>
      <c r="C4" s="6" t="n">
        <f aca="false">COUNTIFS(Items!$B:$B,$A4,Items!$C:$C,"Décor")</f>
        <v>7</v>
      </c>
      <c r="D4" s="6" t="n">
        <f aca="false">COUNTIFS(Items!$B:$B,$A4,Items!$C:$C,"Finish")</f>
        <v>5</v>
      </c>
      <c r="E4" s="6" t="n">
        <f aca="false">COUNTIFS(Items!$B:$B,$A4,Items!$C:$C,"Lighting / textile")</f>
        <v>8</v>
      </c>
      <c r="F4" s="7" t="n">
        <f aca="false">SUM(B4:E4)</f>
        <v>27</v>
      </c>
      <c r="G4" s="8" t="n">
        <v>27</v>
      </c>
      <c r="H4" s="7" t="str">
        <f aca="false">IF(F4=G4,"OK","MISMATCH")</f>
        <v>OK</v>
      </c>
    </row>
    <row r="5" customFormat="false" ht="15" hidden="false" customHeight="true" outlineLevel="0" collapsed="false">
      <c r="A5" s="6" t="s">
        <v>34</v>
      </c>
      <c r="B5" s="6" t="n">
        <f aca="false">COUNTIFS(Items!$B:$B,$A5,Items!$C:$C,"Furniture")</f>
        <v>8</v>
      </c>
      <c r="C5" s="6" t="n">
        <f aca="false">COUNTIFS(Items!$B:$B,$A5,Items!$C:$C,"Décor")</f>
        <v>5</v>
      </c>
      <c r="D5" s="6" t="n">
        <f aca="false">COUNTIFS(Items!$B:$B,$A5,Items!$C:$C,"Finish")</f>
        <v>4</v>
      </c>
      <c r="E5" s="6" t="n">
        <f aca="false">COUNTIFS(Items!$B:$B,$A5,Items!$C:$C,"Lighting / textile")</f>
        <v>4</v>
      </c>
      <c r="F5" s="7" t="n">
        <f aca="false">SUM(B5:E5)</f>
        <v>21</v>
      </c>
      <c r="G5" s="8" t="n">
        <v>21</v>
      </c>
      <c r="H5" s="7" t="str">
        <f aca="false">IF(F5=G5,"OK","MISMATCH")</f>
        <v>OK</v>
      </c>
    </row>
    <row r="6" customFormat="false" ht="15" hidden="false" customHeight="true" outlineLevel="0" collapsed="false">
      <c r="A6" s="6" t="s">
        <v>35</v>
      </c>
      <c r="B6" s="6" t="n">
        <f aca="false">COUNTIFS(Items!$B:$B,$A6,Items!$C:$C,"Furniture")</f>
        <v>7</v>
      </c>
      <c r="C6" s="6" t="n">
        <f aca="false">COUNTIFS(Items!$B:$B,$A6,Items!$C:$C,"Décor")</f>
        <v>6</v>
      </c>
      <c r="D6" s="6" t="n">
        <f aca="false">COUNTIFS(Items!$B:$B,$A6,Items!$C:$C,"Finish")</f>
        <v>4</v>
      </c>
      <c r="E6" s="6" t="n">
        <f aca="false">COUNTIFS(Items!$B:$B,$A6,Items!$C:$C,"Lighting / textile")</f>
        <v>7</v>
      </c>
      <c r="F6" s="7" t="n">
        <f aca="false">SUM(B6:E6)</f>
        <v>24</v>
      </c>
      <c r="G6" s="8" t="n">
        <v>24</v>
      </c>
      <c r="H6" s="7" t="str">
        <f aca="false">IF(F6=G6,"OK","MISMATCH")</f>
        <v>OK</v>
      </c>
    </row>
    <row r="7" customFormat="false" ht="15" hidden="false" customHeight="true" outlineLevel="0" collapsed="false">
      <c r="A7" s="6" t="s">
        <v>36</v>
      </c>
      <c r="B7" s="6" t="n">
        <f aca="false">COUNTIFS(Items!$B:$B,$A7,Items!$C:$C,"Furniture")</f>
        <v>8</v>
      </c>
      <c r="C7" s="6" t="n">
        <f aca="false">COUNTIFS(Items!$B:$B,$A7,Items!$C:$C,"Décor")</f>
        <v>5</v>
      </c>
      <c r="D7" s="6" t="n">
        <f aca="false">COUNTIFS(Items!$B:$B,$A7,Items!$C:$C,"Finish")</f>
        <v>4</v>
      </c>
      <c r="E7" s="6" t="n">
        <f aca="false">COUNTIFS(Items!$B:$B,$A7,Items!$C:$C,"Lighting / textile")</f>
        <v>7</v>
      </c>
      <c r="F7" s="7" t="n">
        <f aca="false">SUM(B7:E7)</f>
        <v>24</v>
      </c>
      <c r="G7" s="8" t="n">
        <v>24</v>
      </c>
      <c r="H7" s="7" t="str">
        <f aca="false">IF(F7=G7,"OK","MISMATCH")</f>
        <v>OK</v>
      </c>
    </row>
    <row r="8" customFormat="false" ht="15" hidden="false" customHeight="true" outlineLevel="0" collapsed="false">
      <c r="A8" s="6" t="s">
        <v>37</v>
      </c>
      <c r="B8" s="6" t="n">
        <f aca="false">COUNTIFS(Items!$B:$B,$A8,Items!$C:$C,"Furniture")</f>
        <v>5</v>
      </c>
      <c r="C8" s="6" t="n">
        <f aca="false">COUNTIFS(Items!$B:$B,$A8,Items!$C:$C,"Décor")</f>
        <v>3</v>
      </c>
      <c r="D8" s="6" t="n">
        <f aca="false">COUNTIFS(Items!$B:$B,$A8,Items!$C:$C,"Finish")</f>
        <v>3</v>
      </c>
      <c r="E8" s="6" t="n">
        <f aca="false">COUNTIFS(Items!$B:$B,$A8,Items!$C:$C,"Lighting / textile")</f>
        <v>3</v>
      </c>
      <c r="F8" s="7" t="n">
        <f aca="false">SUM(B8:E8)</f>
        <v>14</v>
      </c>
      <c r="G8" s="8" t="n">
        <v>14</v>
      </c>
      <c r="H8" s="7" t="str">
        <f aca="false">IF(F8=G8,"OK","MISMATCH")</f>
        <v>OK</v>
      </c>
    </row>
    <row r="9" customFormat="false" ht="15" hidden="false" customHeight="true" outlineLevel="0" collapsed="false">
      <c r="A9" s="6" t="s">
        <v>38</v>
      </c>
      <c r="B9" s="6" t="n">
        <f aca="false">COUNTIFS(Items!$B:$B,$A9,Items!$C:$C,"Furniture")</f>
        <v>5</v>
      </c>
      <c r="C9" s="6" t="n">
        <f aca="false">COUNTIFS(Items!$B:$B,$A9,Items!$C:$C,"Décor")</f>
        <v>3</v>
      </c>
      <c r="D9" s="6" t="n">
        <f aca="false">COUNTIFS(Items!$B:$B,$A9,Items!$C:$C,"Finish")</f>
        <v>4</v>
      </c>
      <c r="E9" s="6" t="n">
        <f aca="false">COUNTIFS(Items!$B:$B,$A9,Items!$C:$C,"Lighting / textile")</f>
        <v>5</v>
      </c>
      <c r="F9" s="7" t="n">
        <f aca="false">SUM(B9:E9)</f>
        <v>17</v>
      </c>
      <c r="G9" s="8" t="n">
        <v>17</v>
      </c>
      <c r="H9" s="7" t="str">
        <f aca="false">IF(F9=G9,"OK","MISMATCH")</f>
        <v>OK</v>
      </c>
    </row>
    <row r="10" customFormat="false" ht="15" hidden="false" customHeight="true" outlineLevel="0" collapsed="false">
      <c r="A10" s="6" t="s">
        <v>39</v>
      </c>
      <c r="B10" s="6" t="n">
        <f aca="false">COUNTIFS(Items!$B:$B,$A10,Items!$C:$C,"Furniture")</f>
        <v>7</v>
      </c>
      <c r="C10" s="6" t="n">
        <f aca="false">COUNTIFS(Items!$B:$B,$A10,Items!$C:$C,"Décor")</f>
        <v>4</v>
      </c>
      <c r="D10" s="6" t="n">
        <f aca="false">COUNTIFS(Items!$B:$B,$A10,Items!$C:$C,"Finish")</f>
        <v>5</v>
      </c>
      <c r="E10" s="6" t="n">
        <f aca="false">COUNTIFS(Items!$B:$B,$A10,Items!$C:$C,"Lighting / textile")</f>
        <v>6</v>
      </c>
      <c r="F10" s="7" t="n">
        <f aca="false">SUM(B10:E10)</f>
        <v>22</v>
      </c>
      <c r="G10" s="8" t="n">
        <v>22</v>
      </c>
      <c r="H10" s="7" t="str">
        <f aca="false">IF(F10=G10,"OK","MISMATCH")</f>
        <v>OK</v>
      </c>
    </row>
    <row r="11" customFormat="false" ht="15" hidden="false" customHeight="true" outlineLevel="0" collapsed="false">
      <c r="A11" s="6" t="s">
        <v>40</v>
      </c>
      <c r="B11" s="6" t="n">
        <f aca="false">COUNTIFS(Items!$B:$B,$A11,Items!$C:$C,"Furniture")</f>
        <v>6</v>
      </c>
      <c r="C11" s="6" t="n">
        <f aca="false">COUNTIFS(Items!$B:$B,$A11,Items!$C:$C,"Décor")</f>
        <v>6</v>
      </c>
      <c r="D11" s="6" t="n">
        <f aca="false">COUNTIFS(Items!$B:$B,$A11,Items!$C:$C,"Finish")</f>
        <v>4</v>
      </c>
      <c r="E11" s="6" t="n">
        <f aca="false">COUNTIFS(Items!$B:$B,$A11,Items!$C:$C,"Lighting / textile")</f>
        <v>5</v>
      </c>
      <c r="F11" s="7" t="n">
        <f aca="false">SUM(B11:E11)</f>
        <v>21</v>
      </c>
      <c r="G11" s="8" t="n">
        <v>21</v>
      </c>
      <c r="H11" s="7" t="str">
        <f aca="false">IF(F11=G11,"OK","MISMATCH")</f>
        <v>OK</v>
      </c>
    </row>
    <row r="12" customFormat="false" ht="15" hidden="false" customHeight="true" outlineLevel="0" collapsed="false">
      <c r="A12" s="6" t="s">
        <v>41</v>
      </c>
      <c r="B12" s="6" t="n">
        <f aca="false">COUNTIFS(Items!$B:$B,$A12,Items!$C:$C,"Furniture")</f>
        <v>7</v>
      </c>
      <c r="C12" s="6" t="n">
        <f aca="false">COUNTIFS(Items!$B:$B,$A12,Items!$C:$C,"Décor")</f>
        <v>5</v>
      </c>
      <c r="D12" s="6" t="n">
        <f aca="false">COUNTIFS(Items!$B:$B,$A12,Items!$C:$C,"Finish")</f>
        <v>4</v>
      </c>
      <c r="E12" s="6" t="n">
        <f aca="false">COUNTIFS(Items!$B:$B,$A12,Items!$C:$C,"Lighting / textile")</f>
        <v>6</v>
      </c>
      <c r="F12" s="7" t="n">
        <f aca="false">SUM(B12:E12)</f>
        <v>22</v>
      </c>
      <c r="G12" s="8" t="n">
        <v>22</v>
      </c>
      <c r="H12" s="7" t="str">
        <f aca="false">IF(F12=G12,"OK","MISMATCH")</f>
        <v>OK</v>
      </c>
    </row>
    <row r="13" customFormat="false" ht="15" hidden="false" customHeight="true" outlineLevel="0" collapsed="false">
      <c r="A13" s="6" t="s">
        <v>42</v>
      </c>
      <c r="B13" s="6" t="n">
        <f aca="false">COUNTIFS(Items!$B:$B,$A13,Items!$C:$C,"Furniture")</f>
        <v>4</v>
      </c>
      <c r="C13" s="6" t="n">
        <f aca="false">COUNTIFS(Items!$B:$B,$A13,Items!$C:$C,"Décor")</f>
        <v>3</v>
      </c>
      <c r="D13" s="6" t="n">
        <f aca="false">COUNTIFS(Items!$B:$B,$A13,Items!$C:$C,"Finish")</f>
        <v>3</v>
      </c>
      <c r="E13" s="6" t="n">
        <f aca="false">COUNTIFS(Items!$B:$B,$A13,Items!$C:$C,"Lighting / textile")</f>
        <v>3</v>
      </c>
      <c r="F13" s="7" t="n">
        <f aca="false">SUM(B13:E13)</f>
        <v>13</v>
      </c>
      <c r="G13" s="8" t="n">
        <v>13</v>
      </c>
      <c r="H13" s="7" t="str">
        <f aca="false">IF(F13=G13,"OK","MISMATCH")</f>
        <v>OK</v>
      </c>
    </row>
    <row r="14" customFormat="false" ht="15" hidden="false" customHeight="true" outlineLevel="0" collapsed="false">
      <c r="A14" s="6" t="s">
        <v>43</v>
      </c>
      <c r="B14" s="6" t="n">
        <f aca="false">COUNTIFS(Items!$B:$B,$A14,Items!$C:$C,"Furniture")</f>
        <v>2</v>
      </c>
      <c r="C14" s="6" t="n">
        <f aca="false">COUNTIFS(Items!$B:$B,$A14,Items!$C:$C,"Décor")</f>
        <v>3</v>
      </c>
      <c r="D14" s="6" t="n">
        <f aca="false">COUNTIFS(Items!$B:$B,$A14,Items!$C:$C,"Finish")</f>
        <v>3</v>
      </c>
      <c r="E14" s="6" t="n">
        <f aca="false">COUNTIFS(Items!$B:$B,$A14,Items!$C:$C,"Lighting / textile")</f>
        <v>2</v>
      </c>
      <c r="F14" s="7" t="n">
        <f aca="false">SUM(B14:E14)</f>
        <v>10</v>
      </c>
      <c r="G14" s="8" t="n">
        <v>10</v>
      </c>
      <c r="H14" s="7" t="str">
        <f aca="false">IF(F14=G14,"OK","MISMATCH")</f>
        <v>OK</v>
      </c>
    </row>
    <row r="15" customFormat="false" ht="15" hidden="false" customHeight="true" outlineLevel="0" collapsed="false">
      <c r="A15" s="6" t="s">
        <v>44</v>
      </c>
      <c r="B15" s="6" t="n">
        <f aca="false">COUNTIFS(Items!$B:$B,$A15,Items!$C:$C,"Furniture")</f>
        <v>1</v>
      </c>
      <c r="C15" s="6" t="n">
        <f aca="false">COUNTIFS(Items!$B:$B,$A15,Items!$C:$C,"Décor")</f>
        <v>3</v>
      </c>
      <c r="D15" s="6" t="n">
        <f aca="false">COUNTIFS(Items!$B:$B,$A15,Items!$C:$C,"Finish")</f>
        <v>2</v>
      </c>
      <c r="E15" s="6" t="n">
        <f aca="false">COUNTIFS(Items!$B:$B,$A15,Items!$C:$C,"Lighting / textile")</f>
        <v>2</v>
      </c>
      <c r="F15" s="7" t="n">
        <f aca="false">SUM(B15:E15)</f>
        <v>8</v>
      </c>
      <c r="G15" s="8" t="n">
        <v>8</v>
      </c>
      <c r="H15" s="7" t="str">
        <f aca="false">IF(F15=G15,"OK","MISMATCH")</f>
        <v>OK</v>
      </c>
    </row>
    <row r="16" customFormat="false" ht="15" hidden="false" customHeight="true" outlineLevel="0" collapsed="false">
      <c r="A16" s="9" t="s">
        <v>45</v>
      </c>
      <c r="B16" s="9" t="n">
        <f aca="false">SUM(B2:B15)</f>
        <v>76</v>
      </c>
      <c r="C16" s="9" t="n">
        <f aca="false">SUM(C2:C15)</f>
        <v>62</v>
      </c>
      <c r="D16" s="9" t="n">
        <f aca="false">SUM(D2:D15)</f>
        <v>53</v>
      </c>
      <c r="E16" s="9" t="n">
        <f aca="false">SUM(E2:E15)</f>
        <v>68</v>
      </c>
      <c r="F16" s="9" t="n">
        <f aca="false">SUM(F2:F15)</f>
        <v>259</v>
      </c>
      <c r="G16" s="9" t="n">
        <f aca="false">SUM(G2:G15)</f>
        <v>259</v>
      </c>
      <c r="H16" s="9" t="str">
        <f aca="false">IF(F16=G16,"OK","MISMATCH")</f>
        <v>OK</v>
      </c>
    </row>
    <row r="18" customFormat="false" ht="15" hidden="false" customHeight="true" outlineLevel="0" collapsed="false">
      <c r="A18" s="9" t="s">
        <v>46</v>
      </c>
      <c r="B18" s="9" t="n">
        <f aca="false">COUNTA(Placements!A:A)-1</f>
        <v>291</v>
      </c>
    </row>
    <row r="19" customFormat="false" ht="15" hidden="false" customHeight="true" outlineLevel="0" collapsed="false">
      <c r="A19" s="9" t="s">
        <v>47</v>
      </c>
      <c r="B19" s="10" t="n">
        <v>181</v>
      </c>
      <c r="C19" s="11" t="s">
        <v>48</v>
      </c>
    </row>
    <row r="21" customFormat="false" ht="15" hidden="false" customHeight="true" outlineLevel="0" collapsed="false">
      <c r="A21" s="12" t="s">
        <v>49</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20"/>
    <col collapsed="false" customWidth="true" hidden="false" outlineLevel="0" max="3" min="3" style="1" width="13"/>
    <col collapsed="false" customWidth="true" hidden="false" outlineLevel="0" max="4" min="4" style="1" width="42"/>
    <col collapsed="false" customWidth="true" hidden="false" outlineLevel="0" max="5" min="5" style="1" width="20"/>
    <col collapsed="false" customWidth="true" hidden="false" outlineLevel="0" max="6" min="6" style="1" width="19"/>
    <col collapsed="false" customWidth="true" hidden="false" outlineLevel="0" max="7" min="7" style="1" width="8"/>
    <col collapsed="false" customWidth="true" hidden="false" outlineLevel="0" max="8" min="8" style="1" width="5"/>
    <col collapsed="false" customWidth="true" hidden="false" outlineLevel="0" max="11" min="9" style="1" width="8"/>
    <col collapsed="false" customWidth="true" hidden="false" outlineLevel="0" max="14" min="12" style="1" width="9"/>
    <col collapsed="false" customWidth="true" hidden="false" outlineLevel="0" max="15" min="15" style="1" width="8"/>
    <col collapsed="false" customWidth="true" hidden="false" outlineLevel="0" max="16" min="16" style="1" width="6"/>
    <col collapsed="false" customWidth="true" hidden="false" outlineLevel="0" max="17" min="17" style="1" width="46"/>
    <col collapsed="false" customWidth="true" hidden="false" outlineLevel="0" max="18" min="18" style="1" width="34"/>
    <col collapsed="false" customWidth="true" hidden="false" outlineLevel="0" max="19" min="19" style="1" width="90"/>
    <col collapsed="false" customWidth="true" hidden="false" outlineLevel="0" max="20" min="20" style="1" width="34"/>
    <col collapsed="false" customWidth="true" hidden="false" outlineLevel="0" max="21" min="21" style="1" width="18"/>
    <col collapsed="false" customWidth="true" hidden="false" outlineLevel="0" max="22" min="22" style="1" width="7"/>
    <col collapsed="false" customWidth="true" hidden="false" outlineLevel="0" max="23" min="23" style="1" width="16"/>
    <col collapsed="false" customWidth="true" hidden="false" outlineLevel="0" max="24" min="24" style="1" width="30"/>
  </cols>
  <sheetData>
    <row r="1" customFormat="false" ht="31.5" hidden="false" customHeight="true" outlineLevel="0" collapsed="false">
      <c r="A1" s="5" t="s">
        <v>50</v>
      </c>
      <c r="B1" s="5" t="s">
        <v>23</v>
      </c>
      <c r="C1" s="5" t="s">
        <v>51</v>
      </c>
      <c r="D1" s="5" t="s">
        <v>52</v>
      </c>
      <c r="E1" s="5" t="s">
        <v>53</v>
      </c>
      <c r="F1" s="5" t="s">
        <v>54</v>
      </c>
      <c r="G1" s="5" t="s">
        <v>55</v>
      </c>
      <c r="H1" s="5" t="s">
        <v>56</v>
      </c>
      <c r="I1" s="5" t="s">
        <v>57</v>
      </c>
      <c r="J1" s="5" t="s">
        <v>58</v>
      </c>
      <c r="K1" s="5" t="s">
        <v>59</v>
      </c>
      <c r="L1" s="5" t="s">
        <v>60</v>
      </c>
      <c r="M1" s="5" t="s">
        <v>61</v>
      </c>
      <c r="N1" s="5" t="s">
        <v>62</v>
      </c>
      <c r="O1" s="5" t="s">
        <v>63</v>
      </c>
      <c r="P1" s="5" t="s">
        <v>64</v>
      </c>
      <c r="Q1" s="5" t="s">
        <v>65</v>
      </c>
      <c r="R1" s="5" t="s">
        <v>66</v>
      </c>
      <c r="S1" s="5" t="s">
        <v>67</v>
      </c>
      <c r="T1" s="5" t="s">
        <v>68</v>
      </c>
      <c r="U1" s="5" t="s">
        <v>69</v>
      </c>
      <c r="V1" s="5" t="s">
        <v>70</v>
      </c>
      <c r="W1" s="5" t="s">
        <v>71</v>
      </c>
      <c r="X1" s="5" t="s">
        <v>72</v>
      </c>
    </row>
    <row r="2" customFormat="false" ht="90" hidden="false" customHeight="true" outlineLevel="0" collapsed="false">
      <c r="A2" s="13" t="s">
        <v>73</v>
      </c>
      <c r="B2" s="14" t="s">
        <v>31</v>
      </c>
      <c r="C2" s="14" t="s">
        <v>24</v>
      </c>
      <c r="D2" s="14" t="s">
        <v>74</v>
      </c>
      <c r="E2" s="14" t="s">
        <v>75</v>
      </c>
      <c r="F2" s="14" t="s">
        <v>76</v>
      </c>
      <c r="G2" s="14" t="s">
        <v>77</v>
      </c>
      <c r="H2" s="15" t="n">
        <v>2</v>
      </c>
      <c r="I2" s="15" t="n">
        <v>820</v>
      </c>
      <c r="J2" s="15" t="n">
        <v>820</v>
      </c>
      <c r="K2" s="15" t="n">
        <v>760</v>
      </c>
      <c r="L2" s="15" t="n">
        <v>7550</v>
      </c>
      <c r="M2" s="15" t="n">
        <v>5750</v>
      </c>
      <c r="N2" s="15" t="n">
        <v>0</v>
      </c>
      <c r="O2" s="15" t="n">
        <v>90</v>
      </c>
      <c r="P2" s="14" t="s">
        <v>78</v>
      </c>
      <c r="Q2" s="15" t="s">
        <v>79</v>
      </c>
      <c r="R2" s="14" t="s">
        <v>80</v>
      </c>
      <c r="S2" s="14" t="s">
        <v>81</v>
      </c>
      <c r="T2" s="14" t="s">
        <v>82</v>
      </c>
      <c r="U2" s="14" t="s">
        <v>83</v>
      </c>
      <c r="V2" s="14" t="s">
        <v>84</v>
      </c>
      <c r="W2" s="14" t="s">
        <v>85</v>
      </c>
      <c r="X2" s="14"/>
    </row>
    <row r="3" customFormat="false" ht="90" hidden="false" customHeight="true" outlineLevel="0" collapsed="false">
      <c r="A3" s="13" t="s">
        <v>86</v>
      </c>
      <c r="B3" s="14" t="s">
        <v>31</v>
      </c>
      <c r="C3" s="14" t="s">
        <v>24</v>
      </c>
      <c r="D3" s="14" t="s">
        <v>87</v>
      </c>
      <c r="E3" s="14" t="s">
        <v>88</v>
      </c>
      <c r="F3" s="14" t="s">
        <v>89</v>
      </c>
      <c r="G3" s="14" t="s">
        <v>77</v>
      </c>
      <c r="H3" s="15" t="n">
        <v>1</v>
      </c>
      <c r="I3" s="15" t="n">
        <v>700</v>
      </c>
      <c r="J3" s="15" t="n">
        <v>700</v>
      </c>
      <c r="K3" s="15" t="n">
        <v>400</v>
      </c>
      <c r="L3" s="15" t="n">
        <v>6750</v>
      </c>
      <c r="M3" s="15" t="n">
        <v>6300</v>
      </c>
      <c r="N3" s="15" t="n">
        <v>0</v>
      </c>
      <c r="O3" s="15" t="n">
        <v>0</v>
      </c>
      <c r="P3" s="14" t="s">
        <v>90</v>
      </c>
      <c r="Q3" s="15" t="s">
        <v>91</v>
      </c>
      <c r="R3" s="14" t="s">
        <v>92</v>
      </c>
      <c r="S3" s="14" t="s">
        <v>93</v>
      </c>
      <c r="T3" s="14" t="s">
        <v>94</v>
      </c>
      <c r="U3" s="14" t="s">
        <v>95</v>
      </c>
      <c r="V3" s="14" t="s">
        <v>84</v>
      </c>
      <c r="W3" s="14" t="s">
        <v>85</v>
      </c>
      <c r="X3" s="14"/>
    </row>
    <row r="4" customFormat="false" ht="90" hidden="false" customHeight="true" outlineLevel="0" collapsed="false">
      <c r="A4" s="13" t="s">
        <v>96</v>
      </c>
      <c r="B4" s="14" t="s">
        <v>31</v>
      </c>
      <c r="C4" s="14" t="s">
        <v>24</v>
      </c>
      <c r="D4" s="14" t="s">
        <v>97</v>
      </c>
      <c r="E4" s="14" t="s">
        <v>98</v>
      </c>
      <c r="F4" s="14" t="s">
        <v>99</v>
      </c>
      <c r="G4" s="14" t="s">
        <v>77</v>
      </c>
      <c r="H4" s="15" t="n">
        <v>1</v>
      </c>
      <c r="I4" s="15" t="n">
        <v>1500</v>
      </c>
      <c r="J4" s="15" t="n">
        <v>350</v>
      </c>
      <c r="K4" s="15" t="n">
        <v>800</v>
      </c>
      <c r="L4" s="15" t="n">
        <v>8470</v>
      </c>
      <c r="M4" s="15" t="n">
        <v>8102</v>
      </c>
      <c r="N4" s="15" t="n">
        <v>0</v>
      </c>
      <c r="O4" s="15" t="n">
        <v>0</v>
      </c>
      <c r="P4" s="14" t="s">
        <v>90</v>
      </c>
      <c r="Q4" s="15" t="s">
        <v>100</v>
      </c>
      <c r="R4" s="14" t="s">
        <v>101</v>
      </c>
      <c r="S4" s="14" t="s">
        <v>102</v>
      </c>
      <c r="T4" s="14" t="s">
        <v>103</v>
      </c>
      <c r="U4" s="14" t="s">
        <v>104</v>
      </c>
      <c r="V4" s="14" t="s">
        <v>84</v>
      </c>
      <c r="W4" s="14" t="s">
        <v>85</v>
      </c>
      <c r="X4" s="14"/>
    </row>
    <row r="5" customFormat="false" ht="90" hidden="false" customHeight="true" outlineLevel="0" collapsed="false">
      <c r="A5" s="13" t="s">
        <v>105</v>
      </c>
      <c r="B5" s="14" t="s">
        <v>31</v>
      </c>
      <c r="C5" s="14" t="s">
        <v>24</v>
      </c>
      <c r="D5" s="14" t="s">
        <v>106</v>
      </c>
      <c r="E5" s="14" t="s">
        <v>107</v>
      </c>
      <c r="F5" s="14" t="s">
        <v>108</v>
      </c>
      <c r="G5" s="14" t="s">
        <v>77</v>
      </c>
      <c r="H5" s="15" t="n">
        <v>1</v>
      </c>
      <c r="I5" s="15" t="n">
        <v>1400</v>
      </c>
      <c r="J5" s="15" t="n">
        <v>350</v>
      </c>
      <c r="K5" s="15" t="n">
        <v>900</v>
      </c>
      <c r="L5" s="15" t="n">
        <v>8540</v>
      </c>
      <c r="M5" s="15" t="n">
        <v>4734</v>
      </c>
      <c r="N5" s="15" t="n">
        <v>0</v>
      </c>
      <c r="O5" s="15" t="n">
        <v>0</v>
      </c>
      <c r="P5" s="14" t="s">
        <v>90</v>
      </c>
      <c r="Q5" s="15" t="s">
        <v>109</v>
      </c>
      <c r="R5" s="14" t="s">
        <v>110</v>
      </c>
      <c r="S5" s="14" t="s">
        <v>111</v>
      </c>
      <c r="T5" s="14" t="s">
        <v>112</v>
      </c>
      <c r="U5" s="14" t="s">
        <v>113</v>
      </c>
      <c r="V5" s="14" t="s">
        <v>114</v>
      </c>
      <c r="W5" s="14" t="s">
        <v>85</v>
      </c>
      <c r="X5" s="14" t="s">
        <v>115</v>
      </c>
    </row>
    <row r="6" customFormat="false" ht="90" hidden="false" customHeight="true" outlineLevel="0" collapsed="false">
      <c r="A6" s="13" t="s">
        <v>116</v>
      </c>
      <c r="B6" s="14" t="s">
        <v>31</v>
      </c>
      <c r="C6" s="14" t="s">
        <v>24</v>
      </c>
      <c r="D6" s="14" t="s">
        <v>117</v>
      </c>
      <c r="E6" s="14" t="s">
        <v>118</v>
      </c>
      <c r="F6" s="14" t="s">
        <v>119</v>
      </c>
      <c r="G6" s="14" t="s">
        <v>77</v>
      </c>
      <c r="H6" s="15" t="n">
        <v>1</v>
      </c>
      <c r="I6" s="15" t="n">
        <v>1600</v>
      </c>
      <c r="J6" s="15" t="n">
        <v>850</v>
      </c>
      <c r="K6" s="15" t="n">
        <v>780</v>
      </c>
      <c r="L6" s="15" t="n">
        <v>5575</v>
      </c>
      <c r="M6" s="15" t="n">
        <v>6300</v>
      </c>
      <c r="N6" s="15" t="n">
        <v>0</v>
      </c>
      <c r="O6" s="15" t="n">
        <v>270</v>
      </c>
      <c r="P6" s="14" t="s">
        <v>120</v>
      </c>
      <c r="Q6" s="15" t="s">
        <v>121</v>
      </c>
      <c r="R6" s="14" t="s">
        <v>122</v>
      </c>
      <c r="S6" s="14" t="s">
        <v>123</v>
      </c>
      <c r="T6" s="14" t="s">
        <v>124</v>
      </c>
      <c r="U6" s="14" t="s">
        <v>125</v>
      </c>
      <c r="V6" s="14" t="s">
        <v>84</v>
      </c>
      <c r="W6" s="14" t="s">
        <v>85</v>
      </c>
      <c r="X6" s="14" t="s">
        <v>126</v>
      </c>
    </row>
    <row r="7" customFormat="false" ht="90" hidden="false" customHeight="true" outlineLevel="0" collapsed="false">
      <c r="A7" s="13" t="s">
        <v>127</v>
      </c>
      <c r="B7" s="14" t="s">
        <v>31</v>
      </c>
      <c r="C7" s="14" t="s">
        <v>24</v>
      </c>
      <c r="D7" s="14" t="s">
        <v>128</v>
      </c>
      <c r="E7" s="14" t="s">
        <v>129</v>
      </c>
      <c r="F7" s="14" t="s">
        <v>130</v>
      </c>
      <c r="G7" s="14" t="s">
        <v>77</v>
      </c>
      <c r="H7" s="15" t="n">
        <v>2</v>
      </c>
      <c r="I7" s="15" t="n">
        <v>450</v>
      </c>
      <c r="J7" s="15" t="n">
        <v>450</v>
      </c>
      <c r="K7" s="15" t="n">
        <v>500</v>
      </c>
      <c r="L7" s="15" t="n">
        <v>5575</v>
      </c>
      <c r="M7" s="15" t="n">
        <v>5230</v>
      </c>
      <c r="N7" s="15" t="n">
        <v>0</v>
      </c>
      <c r="O7" s="15" t="n">
        <v>0</v>
      </c>
      <c r="P7" s="14" t="s">
        <v>90</v>
      </c>
      <c r="Q7" s="15" t="s">
        <v>131</v>
      </c>
      <c r="R7" s="14" t="s">
        <v>132</v>
      </c>
      <c r="S7" s="14" t="s">
        <v>133</v>
      </c>
      <c r="T7" s="14" t="s">
        <v>134</v>
      </c>
      <c r="U7" s="14" t="s">
        <v>135</v>
      </c>
      <c r="V7" s="14" t="s">
        <v>84</v>
      </c>
      <c r="W7" s="14" t="s">
        <v>85</v>
      </c>
      <c r="X7" s="14"/>
    </row>
    <row r="8" customFormat="false" ht="90" hidden="false" customHeight="true" outlineLevel="0" collapsed="false">
      <c r="A8" s="13" t="s">
        <v>136</v>
      </c>
      <c r="B8" s="14" t="s">
        <v>31</v>
      </c>
      <c r="C8" s="14" t="s">
        <v>24</v>
      </c>
      <c r="D8" s="14" t="s">
        <v>137</v>
      </c>
      <c r="E8" s="14" t="s">
        <v>138</v>
      </c>
      <c r="F8" s="14" t="s">
        <v>139</v>
      </c>
      <c r="G8" s="14" t="s">
        <v>77</v>
      </c>
      <c r="H8" s="15" t="n">
        <v>2</v>
      </c>
      <c r="I8" s="15" t="n">
        <v>450</v>
      </c>
      <c r="J8" s="15" t="n">
        <v>450</v>
      </c>
      <c r="K8" s="15" t="n">
        <v>420</v>
      </c>
      <c r="L8" s="15" t="n">
        <v>8150</v>
      </c>
      <c r="M8" s="15" t="n">
        <v>7680</v>
      </c>
      <c r="N8" s="15" t="n">
        <v>0</v>
      </c>
      <c r="O8" s="15" t="n">
        <v>0</v>
      </c>
      <c r="P8" s="14" t="s">
        <v>90</v>
      </c>
      <c r="Q8" s="15" t="s">
        <v>140</v>
      </c>
      <c r="R8" s="14" t="s">
        <v>80</v>
      </c>
      <c r="S8" s="14" t="s">
        <v>141</v>
      </c>
      <c r="T8" s="14" t="s">
        <v>142</v>
      </c>
      <c r="U8" s="14" t="s">
        <v>143</v>
      </c>
      <c r="V8" s="14" t="s">
        <v>84</v>
      </c>
      <c r="W8" s="14" t="s">
        <v>85</v>
      </c>
      <c r="X8" s="14" t="s">
        <v>144</v>
      </c>
    </row>
    <row r="9" customFormat="false" ht="90" hidden="false" customHeight="true" outlineLevel="0" collapsed="false">
      <c r="A9" s="13" t="s">
        <v>145</v>
      </c>
      <c r="B9" s="14" t="s">
        <v>31</v>
      </c>
      <c r="C9" s="14" t="s">
        <v>24</v>
      </c>
      <c r="D9" s="14" t="s">
        <v>146</v>
      </c>
      <c r="E9" s="14" t="s">
        <v>147</v>
      </c>
      <c r="F9" s="14" t="s">
        <v>148</v>
      </c>
      <c r="G9" s="14" t="s">
        <v>77</v>
      </c>
      <c r="H9" s="15" t="n">
        <v>1</v>
      </c>
      <c r="I9" s="15" t="n">
        <v>600</v>
      </c>
      <c r="J9" s="15" t="n">
        <v>600</v>
      </c>
      <c r="K9" s="15" t="n">
        <v>1800</v>
      </c>
      <c r="L9" s="15" t="n">
        <v>8900</v>
      </c>
      <c r="M9" s="15" t="n">
        <v>5600</v>
      </c>
      <c r="N9" s="15" t="n">
        <v>0</v>
      </c>
      <c r="O9" s="15" t="n">
        <v>0</v>
      </c>
      <c r="P9" s="14" t="s">
        <v>90</v>
      </c>
      <c r="Q9" s="15" t="s">
        <v>149</v>
      </c>
      <c r="R9" s="14" t="s">
        <v>150</v>
      </c>
      <c r="S9" s="14" t="s">
        <v>151</v>
      </c>
      <c r="T9" s="14" t="s">
        <v>152</v>
      </c>
      <c r="U9" s="14" t="s">
        <v>153</v>
      </c>
      <c r="V9" s="14" t="s">
        <v>114</v>
      </c>
      <c r="W9" s="14" t="s">
        <v>85</v>
      </c>
      <c r="X9" s="14"/>
    </row>
    <row r="10" customFormat="false" ht="90" hidden="false" customHeight="true" outlineLevel="0" collapsed="false">
      <c r="A10" s="13" t="s">
        <v>154</v>
      </c>
      <c r="B10" s="14" t="s">
        <v>31</v>
      </c>
      <c r="C10" s="14" t="s">
        <v>25</v>
      </c>
      <c r="D10" s="14" t="s">
        <v>155</v>
      </c>
      <c r="E10" s="14" t="s">
        <v>156</v>
      </c>
      <c r="F10" s="14" t="s">
        <v>157</v>
      </c>
      <c r="G10" s="14" t="s">
        <v>158</v>
      </c>
      <c r="H10" s="15" t="n">
        <v>1</v>
      </c>
      <c r="I10" s="15" t="n">
        <v>1100</v>
      </c>
      <c r="J10" s="15" t="n">
        <v>40</v>
      </c>
      <c r="K10" s="15" t="n">
        <v>800</v>
      </c>
      <c r="L10" s="15" t="n">
        <v>8470</v>
      </c>
      <c r="M10" s="15" t="n">
        <v>8258</v>
      </c>
      <c r="N10" s="15" t="n">
        <v>1100</v>
      </c>
      <c r="O10" s="15" t="n">
        <v>180</v>
      </c>
      <c r="P10" s="14" t="s">
        <v>159</v>
      </c>
      <c r="Q10" s="15" t="s">
        <v>160</v>
      </c>
      <c r="R10" s="14"/>
      <c r="S10" s="14" t="s">
        <v>161</v>
      </c>
      <c r="T10" s="14" t="s">
        <v>162</v>
      </c>
      <c r="U10" s="14" t="s">
        <v>163</v>
      </c>
      <c r="V10" s="14" t="s">
        <v>84</v>
      </c>
      <c r="W10" s="14" t="s">
        <v>164</v>
      </c>
      <c r="X10" s="14"/>
    </row>
    <row r="11" customFormat="false" ht="90" hidden="false" customHeight="true" outlineLevel="0" collapsed="false">
      <c r="A11" s="13" t="s">
        <v>165</v>
      </c>
      <c r="B11" s="14" t="s">
        <v>31</v>
      </c>
      <c r="C11" s="14" t="s">
        <v>25</v>
      </c>
      <c r="D11" s="14" t="s">
        <v>166</v>
      </c>
      <c r="E11" s="14" t="s">
        <v>167</v>
      </c>
      <c r="F11" s="14" t="s">
        <v>168</v>
      </c>
      <c r="G11" s="14" t="s">
        <v>169</v>
      </c>
      <c r="H11" s="15" t="n">
        <v>1</v>
      </c>
      <c r="I11" s="15" t="n">
        <v>250</v>
      </c>
      <c r="J11" s="15" t="n">
        <v>250</v>
      </c>
      <c r="K11" s="15" t="n">
        <v>150</v>
      </c>
      <c r="L11" s="15" t="n">
        <v>8000</v>
      </c>
      <c r="M11" s="15" t="n">
        <v>8100</v>
      </c>
      <c r="N11" s="15" t="s">
        <v>170</v>
      </c>
      <c r="O11" s="15" t="n">
        <v>0</v>
      </c>
      <c r="P11" s="14" t="s">
        <v>90</v>
      </c>
      <c r="Q11" s="15" t="s">
        <v>171</v>
      </c>
      <c r="R11" s="14" t="s">
        <v>172</v>
      </c>
      <c r="S11" s="14" t="s">
        <v>173</v>
      </c>
      <c r="T11" s="14" t="s">
        <v>174</v>
      </c>
      <c r="U11" s="14" t="s">
        <v>175</v>
      </c>
      <c r="V11" s="14" t="s">
        <v>84</v>
      </c>
      <c r="W11" s="14" t="s">
        <v>164</v>
      </c>
      <c r="X11" s="14"/>
    </row>
    <row r="12" customFormat="false" ht="90" hidden="false" customHeight="true" outlineLevel="0" collapsed="false">
      <c r="A12" s="13" t="s">
        <v>176</v>
      </c>
      <c r="B12" s="14" t="s">
        <v>31</v>
      </c>
      <c r="C12" s="14" t="s">
        <v>25</v>
      </c>
      <c r="D12" s="14" t="s">
        <v>177</v>
      </c>
      <c r="E12" s="14" t="s">
        <v>167</v>
      </c>
      <c r="F12" s="14" t="s">
        <v>168</v>
      </c>
      <c r="G12" s="14" t="s">
        <v>169</v>
      </c>
      <c r="H12" s="15" t="n">
        <v>1</v>
      </c>
      <c r="I12" s="15" t="n">
        <v>250</v>
      </c>
      <c r="J12" s="15" t="n">
        <v>250</v>
      </c>
      <c r="K12" s="15" t="n">
        <v>150</v>
      </c>
      <c r="L12" s="15" t="n">
        <v>6600</v>
      </c>
      <c r="M12" s="15" t="n">
        <v>6150</v>
      </c>
      <c r="N12" s="15" t="s">
        <v>170</v>
      </c>
      <c r="O12" s="15" t="n">
        <v>0</v>
      </c>
      <c r="P12" s="14" t="s">
        <v>90</v>
      </c>
      <c r="Q12" s="15" t="s">
        <v>178</v>
      </c>
      <c r="R12" s="14"/>
      <c r="S12" s="14" t="s">
        <v>179</v>
      </c>
      <c r="T12" s="14" t="s">
        <v>174</v>
      </c>
      <c r="U12" s="14" t="s">
        <v>180</v>
      </c>
      <c r="V12" s="14" t="s">
        <v>84</v>
      </c>
      <c r="W12" s="14" t="s">
        <v>164</v>
      </c>
      <c r="X12" s="14"/>
    </row>
    <row r="13" customFormat="false" ht="90" hidden="false" customHeight="true" outlineLevel="0" collapsed="false">
      <c r="A13" s="13" t="s">
        <v>181</v>
      </c>
      <c r="B13" s="14" t="s">
        <v>31</v>
      </c>
      <c r="C13" s="14" t="s">
        <v>25</v>
      </c>
      <c r="D13" s="14" t="s">
        <v>182</v>
      </c>
      <c r="E13" s="14" t="s">
        <v>156</v>
      </c>
      <c r="F13" s="14" t="s">
        <v>157</v>
      </c>
      <c r="G13" s="14" t="s">
        <v>158</v>
      </c>
      <c r="H13" s="15" t="n">
        <v>4</v>
      </c>
      <c r="I13" s="15" t="n">
        <v>1280</v>
      </c>
      <c r="J13" s="15" t="n">
        <v>40</v>
      </c>
      <c r="K13" s="15" t="n">
        <v>900</v>
      </c>
      <c r="L13" s="15" t="n">
        <v>8540</v>
      </c>
      <c r="M13" s="15" t="n">
        <v>4580</v>
      </c>
      <c r="N13" s="15" t="n">
        <v>1050</v>
      </c>
      <c r="O13" s="15" t="n">
        <v>0</v>
      </c>
      <c r="P13" s="14" t="s">
        <v>183</v>
      </c>
      <c r="Q13" s="15" t="s">
        <v>160</v>
      </c>
      <c r="R13" s="14" t="s">
        <v>184</v>
      </c>
      <c r="S13" s="14" t="s">
        <v>185</v>
      </c>
      <c r="T13" s="14" t="s">
        <v>186</v>
      </c>
      <c r="U13" s="14" t="s">
        <v>187</v>
      </c>
      <c r="V13" s="14" t="s">
        <v>84</v>
      </c>
      <c r="W13" s="14" t="s">
        <v>164</v>
      </c>
      <c r="X13" s="14"/>
    </row>
    <row r="14" customFormat="false" ht="90" hidden="false" customHeight="true" outlineLevel="0" collapsed="false">
      <c r="A14" s="13" t="s">
        <v>188</v>
      </c>
      <c r="B14" s="14" t="s">
        <v>31</v>
      </c>
      <c r="C14" s="14" t="s">
        <v>25</v>
      </c>
      <c r="D14" s="14" t="s">
        <v>189</v>
      </c>
      <c r="E14" s="14" t="s">
        <v>167</v>
      </c>
      <c r="F14" s="14" t="s">
        <v>168</v>
      </c>
      <c r="G14" s="14" t="s">
        <v>169</v>
      </c>
      <c r="H14" s="15" t="n">
        <v>1</v>
      </c>
      <c r="I14" s="15" t="n">
        <v>250</v>
      </c>
      <c r="J14" s="15" t="n">
        <v>250</v>
      </c>
      <c r="K14" s="15" t="n">
        <v>150</v>
      </c>
      <c r="L14" s="15" t="n">
        <v>8540</v>
      </c>
      <c r="M14" s="15" t="n">
        <v>4734</v>
      </c>
      <c r="N14" s="15" t="s">
        <v>170</v>
      </c>
      <c r="O14" s="15" t="n">
        <v>0</v>
      </c>
      <c r="P14" s="14" t="s">
        <v>90</v>
      </c>
      <c r="Q14" s="15" t="s">
        <v>190</v>
      </c>
      <c r="R14" s="14" t="s">
        <v>172</v>
      </c>
      <c r="S14" s="14" t="s">
        <v>191</v>
      </c>
      <c r="T14" s="14" t="s">
        <v>174</v>
      </c>
      <c r="U14" s="14" t="s">
        <v>192</v>
      </c>
      <c r="V14" s="14" t="s">
        <v>84</v>
      </c>
      <c r="W14" s="14" t="s">
        <v>164</v>
      </c>
      <c r="X14" s="14"/>
    </row>
    <row r="15" customFormat="false" ht="90" hidden="false" customHeight="true" outlineLevel="0" collapsed="false">
      <c r="A15" s="13" t="s">
        <v>193</v>
      </c>
      <c r="B15" s="14" t="s">
        <v>31</v>
      </c>
      <c r="C15" s="14" t="s">
        <v>25</v>
      </c>
      <c r="D15" s="14" t="s">
        <v>194</v>
      </c>
      <c r="E15" s="14" t="s">
        <v>167</v>
      </c>
      <c r="F15" s="14" t="s">
        <v>168</v>
      </c>
      <c r="G15" s="14" t="s">
        <v>169</v>
      </c>
      <c r="H15" s="15" t="n">
        <v>1</v>
      </c>
      <c r="I15" s="15" t="n">
        <v>250</v>
      </c>
      <c r="J15" s="15" t="n">
        <v>250</v>
      </c>
      <c r="K15" s="15" t="n">
        <v>150</v>
      </c>
      <c r="L15" s="15" t="n">
        <v>6900</v>
      </c>
      <c r="M15" s="15" t="n">
        <v>6420</v>
      </c>
      <c r="N15" s="15" t="s">
        <v>170</v>
      </c>
      <c r="O15" s="15" t="n">
        <v>0</v>
      </c>
      <c r="P15" s="14" t="s">
        <v>90</v>
      </c>
      <c r="Q15" s="15" t="s">
        <v>195</v>
      </c>
      <c r="R15" s="14" t="s">
        <v>196</v>
      </c>
      <c r="S15" s="14" t="s">
        <v>197</v>
      </c>
      <c r="T15" s="14" t="s">
        <v>174</v>
      </c>
      <c r="U15" s="14" t="s">
        <v>198</v>
      </c>
      <c r="V15" s="14" t="s">
        <v>84</v>
      </c>
      <c r="W15" s="14" t="s">
        <v>164</v>
      </c>
      <c r="X15" s="14"/>
    </row>
    <row r="16" customFormat="false" ht="90" hidden="false" customHeight="true" outlineLevel="0" collapsed="false">
      <c r="A16" s="13" t="s">
        <v>199</v>
      </c>
      <c r="B16" s="14" t="s">
        <v>31</v>
      </c>
      <c r="C16" s="14" t="s">
        <v>25</v>
      </c>
      <c r="D16" s="14" t="s">
        <v>200</v>
      </c>
      <c r="E16" s="14" t="s">
        <v>167</v>
      </c>
      <c r="F16" s="14" t="s">
        <v>168</v>
      </c>
      <c r="G16" s="14" t="s">
        <v>169</v>
      </c>
      <c r="H16" s="15" t="n">
        <v>1</v>
      </c>
      <c r="I16" s="15" t="n">
        <v>250</v>
      </c>
      <c r="J16" s="15" t="n">
        <v>250</v>
      </c>
      <c r="K16" s="15" t="n">
        <v>150</v>
      </c>
      <c r="L16" s="15" t="n">
        <v>9050</v>
      </c>
      <c r="M16" s="15" t="n">
        <v>8100</v>
      </c>
      <c r="N16" s="15" t="s">
        <v>170</v>
      </c>
      <c r="O16" s="15" t="n">
        <v>0</v>
      </c>
      <c r="P16" s="14" t="s">
        <v>90</v>
      </c>
      <c r="Q16" s="15" t="s">
        <v>201</v>
      </c>
      <c r="R16" s="14" t="s">
        <v>92</v>
      </c>
      <c r="S16" s="14" t="s">
        <v>202</v>
      </c>
      <c r="T16" s="14" t="s">
        <v>174</v>
      </c>
      <c r="U16" s="14" t="s">
        <v>203</v>
      </c>
      <c r="V16" s="14" t="s">
        <v>84</v>
      </c>
      <c r="W16" s="14" t="s">
        <v>164</v>
      </c>
      <c r="X16" s="14"/>
    </row>
    <row r="17" customFormat="false" ht="90" hidden="false" customHeight="true" outlineLevel="0" collapsed="false">
      <c r="A17" s="13" t="s">
        <v>204</v>
      </c>
      <c r="B17" s="14" t="s">
        <v>31</v>
      </c>
      <c r="C17" s="14" t="s">
        <v>26</v>
      </c>
      <c r="D17" s="14" t="s">
        <v>205</v>
      </c>
      <c r="E17" s="14" t="s">
        <v>206</v>
      </c>
      <c r="F17" s="14" t="s">
        <v>207</v>
      </c>
      <c r="G17" s="14" t="s">
        <v>158</v>
      </c>
      <c r="H17" s="15" t="n">
        <v>1</v>
      </c>
      <c r="I17" s="15" t="n">
        <v>5049</v>
      </c>
      <c r="J17" s="15" t="n">
        <v>3718</v>
      </c>
      <c r="K17" s="15" t="n">
        <v>2550</v>
      </c>
      <c r="L17" s="15" t="n">
        <v>6762</v>
      </c>
      <c r="M17" s="15" t="n">
        <v>6418</v>
      </c>
      <c r="N17" s="15" t="n">
        <v>0</v>
      </c>
      <c r="O17" s="15" t="n">
        <v>0</v>
      </c>
      <c r="P17" s="14" t="s">
        <v>90</v>
      </c>
      <c r="Q17" s="15" t="s">
        <v>208</v>
      </c>
      <c r="R17" s="14" t="s">
        <v>209</v>
      </c>
      <c r="S17" s="14" t="s">
        <v>210</v>
      </c>
      <c r="T17" s="14" t="s">
        <v>211</v>
      </c>
      <c r="U17" s="14" t="s">
        <v>212</v>
      </c>
      <c r="V17" s="14" t="s">
        <v>84</v>
      </c>
      <c r="W17" s="14" t="s">
        <v>213</v>
      </c>
      <c r="X17" s="14"/>
    </row>
    <row r="18" customFormat="false" ht="90" hidden="false" customHeight="true" outlineLevel="0" collapsed="false">
      <c r="A18" s="13" t="s">
        <v>214</v>
      </c>
      <c r="B18" s="14" t="s">
        <v>31</v>
      </c>
      <c r="C18" s="14" t="s">
        <v>26</v>
      </c>
      <c r="D18" s="14" t="s">
        <v>215</v>
      </c>
      <c r="E18" s="14" t="s">
        <v>216</v>
      </c>
      <c r="F18" s="14" t="s">
        <v>217</v>
      </c>
      <c r="G18" s="14" t="s">
        <v>218</v>
      </c>
      <c r="H18" s="15" t="n">
        <v>1</v>
      </c>
      <c r="I18" s="15" t="n">
        <v>5049</v>
      </c>
      <c r="J18" s="15" t="n">
        <v>3718</v>
      </c>
      <c r="K18" s="15" t="n">
        <v>15</v>
      </c>
      <c r="L18" s="15" t="n">
        <v>6762</v>
      </c>
      <c r="M18" s="15" t="n">
        <v>6418</v>
      </c>
      <c r="N18" s="15" t="n">
        <v>0</v>
      </c>
      <c r="O18" s="15" t="n">
        <v>0</v>
      </c>
      <c r="P18" s="14" t="s">
        <v>90</v>
      </c>
      <c r="Q18" s="15" t="s">
        <v>219</v>
      </c>
      <c r="R18" s="14" t="s">
        <v>220</v>
      </c>
      <c r="S18" s="14" t="s">
        <v>221</v>
      </c>
      <c r="T18" s="14" t="s">
        <v>222</v>
      </c>
      <c r="U18" s="14" t="s">
        <v>223</v>
      </c>
      <c r="V18" s="14" t="s">
        <v>84</v>
      </c>
      <c r="W18" s="14" t="s">
        <v>213</v>
      </c>
      <c r="X18" s="14"/>
    </row>
    <row r="19" customFormat="false" ht="90" hidden="false" customHeight="true" outlineLevel="0" collapsed="false">
      <c r="A19" s="13" t="s">
        <v>224</v>
      </c>
      <c r="B19" s="14" t="s">
        <v>31</v>
      </c>
      <c r="C19" s="14" t="s">
        <v>26</v>
      </c>
      <c r="D19" s="14" t="s">
        <v>225</v>
      </c>
      <c r="E19" s="14" t="s">
        <v>226</v>
      </c>
      <c r="F19" s="14" t="s">
        <v>227</v>
      </c>
      <c r="G19" s="14" t="s">
        <v>77</v>
      </c>
      <c r="H19" s="15" t="n">
        <v>1</v>
      </c>
      <c r="I19" s="15" t="n">
        <v>3718</v>
      </c>
      <c r="J19" s="15" t="n">
        <v>35</v>
      </c>
      <c r="K19" s="15" t="n">
        <v>1100</v>
      </c>
      <c r="L19" s="15" t="n">
        <v>9282</v>
      </c>
      <c r="M19" s="15" t="n">
        <v>6418</v>
      </c>
      <c r="N19" s="15" t="n">
        <v>0</v>
      </c>
      <c r="O19" s="15" t="n">
        <v>90</v>
      </c>
      <c r="P19" s="14" t="s">
        <v>78</v>
      </c>
      <c r="Q19" s="15" t="s">
        <v>228</v>
      </c>
      <c r="R19" s="14" t="s">
        <v>229</v>
      </c>
      <c r="S19" s="14" t="s">
        <v>230</v>
      </c>
      <c r="T19" s="14" t="s">
        <v>231</v>
      </c>
      <c r="U19" s="14" t="s">
        <v>232</v>
      </c>
      <c r="V19" s="14" t="s">
        <v>114</v>
      </c>
      <c r="W19" s="14" t="s">
        <v>213</v>
      </c>
      <c r="X19" s="14"/>
    </row>
    <row r="20" customFormat="false" ht="90" hidden="false" customHeight="true" outlineLevel="0" collapsed="false">
      <c r="A20" s="13" t="s">
        <v>233</v>
      </c>
      <c r="B20" s="14" t="s">
        <v>31</v>
      </c>
      <c r="C20" s="14" t="s">
        <v>26</v>
      </c>
      <c r="D20" s="14" t="s">
        <v>234</v>
      </c>
      <c r="E20" s="14" t="s">
        <v>235</v>
      </c>
      <c r="F20" s="14" t="s">
        <v>236</v>
      </c>
      <c r="G20" s="14" t="s">
        <v>158</v>
      </c>
      <c r="H20" s="15" t="n">
        <v>1</v>
      </c>
      <c r="I20" s="15" t="n">
        <v>1637</v>
      </c>
      <c r="J20" s="15" t="n">
        <v>27</v>
      </c>
      <c r="K20" s="15" t="n">
        <v>2700</v>
      </c>
      <c r="L20" s="15" t="n">
        <v>8468</v>
      </c>
      <c r="M20" s="15" t="n">
        <v>8264</v>
      </c>
      <c r="N20" s="15" t="n">
        <v>0</v>
      </c>
      <c r="O20" s="15" t="n">
        <v>180</v>
      </c>
      <c r="P20" s="14" t="s">
        <v>159</v>
      </c>
      <c r="Q20" s="15" t="s">
        <v>237</v>
      </c>
      <c r="R20" s="14" t="s">
        <v>184</v>
      </c>
      <c r="S20" s="14" t="s">
        <v>238</v>
      </c>
      <c r="T20" s="14" t="s">
        <v>239</v>
      </c>
      <c r="U20" s="14" t="s">
        <v>240</v>
      </c>
      <c r="V20" s="14" t="s">
        <v>84</v>
      </c>
      <c r="W20" s="14" t="s">
        <v>213</v>
      </c>
      <c r="X20" s="14"/>
    </row>
    <row r="21" customFormat="false" ht="90" hidden="false" customHeight="true" outlineLevel="0" collapsed="false">
      <c r="A21" s="13" t="s">
        <v>241</v>
      </c>
      <c r="B21" s="14" t="s">
        <v>31</v>
      </c>
      <c r="C21" s="14" t="s">
        <v>26</v>
      </c>
      <c r="D21" s="14" t="s">
        <v>242</v>
      </c>
      <c r="E21" s="14" t="s">
        <v>243</v>
      </c>
      <c r="F21" s="14" t="s">
        <v>244</v>
      </c>
      <c r="G21" s="14" t="s">
        <v>245</v>
      </c>
      <c r="H21" s="15" t="n">
        <v>1</v>
      </c>
      <c r="I21" s="15" t="n">
        <v>3200</v>
      </c>
      <c r="J21" s="15" t="n">
        <v>2350</v>
      </c>
      <c r="K21" s="15" t="n">
        <v>200</v>
      </c>
      <c r="L21" s="15" t="n">
        <v>6700</v>
      </c>
      <c r="M21" s="15" t="n">
        <v>6325</v>
      </c>
      <c r="N21" s="15" t="n">
        <v>2950</v>
      </c>
      <c r="O21" s="15" t="n">
        <v>0</v>
      </c>
      <c r="P21" s="14" t="s">
        <v>90</v>
      </c>
      <c r="Q21" s="15" t="s">
        <v>246</v>
      </c>
      <c r="R21" s="14" t="s">
        <v>209</v>
      </c>
      <c r="S21" s="14" t="s">
        <v>247</v>
      </c>
      <c r="T21" s="14" t="s">
        <v>248</v>
      </c>
      <c r="U21" s="14" t="s">
        <v>249</v>
      </c>
      <c r="V21" s="14" t="s">
        <v>84</v>
      </c>
      <c r="W21" s="14" t="s">
        <v>213</v>
      </c>
      <c r="X21" s="14"/>
    </row>
    <row r="22" customFormat="false" ht="90" hidden="false" customHeight="true" outlineLevel="0" collapsed="false">
      <c r="A22" s="13" t="s">
        <v>250</v>
      </c>
      <c r="B22" s="14" t="s">
        <v>31</v>
      </c>
      <c r="C22" s="14" t="s">
        <v>26</v>
      </c>
      <c r="D22" s="14" t="s">
        <v>251</v>
      </c>
      <c r="E22" s="14" t="s">
        <v>252</v>
      </c>
      <c r="F22" s="14" t="s">
        <v>253</v>
      </c>
      <c r="G22" s="14" t="s">
        <v>77</v>
      </c>
      <c r="H22" s="15" t="n">
        <v>1</v>
      </c>
      <c r="I22" s="15" t="n">
        <v>3718</v>
      </c>
      <c r="J22" s="15" t="n">
        <v>32</v>
      </c>
      <c r="K22" s="15" t="n">
        <v>5</v>
      </c>
      <c r="L22" s="15" t="n">
        <v>9246</v>
      </c>
      <c r="M22" s="15" t="n">
        <v>6418</v>
      </c>
      <c r="N22" s="15" t="n">
        <v>0</v>
      </c>
      <c r="O22" s="15" t="n">
        <v>90</v>
      </c>
      <c r="P22" s="14" t="s">
        <v>78</v>
      </c>
      <c r="Q22" s="15" t="s">
        <v>254</v>
      </c>
      <c r="R22" s="14" t="s">
        <v>196</v>
      </c>
      <c r="S22" s="14" t="s">
        <v>255</v>
      </c>
      <c r="T22" s="14" t="s">
        <v>256</v>
      </c>
      <c r="U22" s="14" t="s">
        <v>257</v>
      </c>
      <c r="V22" s="14" t="s">
        <v>84</v>
      </c>
      <c r="W22" s="14" t="s">
        <v>213</v>
      </c>
      <c r="X22" s="14"/>
    </row>
    <row r="23" customFormat="false" ht="90" hidden="false" customHeight="true" outlineLevel="0" collapsed="false">
      <c r="A23" s="13" t="s">
        <v>258</v>
      </c>
      <c r="B23" s="14" t="s">
        <v>31</v>
      </c>
      <c r="C23" s="14" t="s">
        <v>27</v>
      </c>
      <c r="D23" s="14" t="s">
        <v>259</v>
      </c>
      <c r="E23" s="14" t="s">
        <v>260</v>
      </c>
      <c r="F23" s="14" t="s">
        <v>261</v>
      </c>
      <c r="G23" s="14" t="s">
        <v>245</v>
      </c>
      <c r="H23" s="15" t="n">
        <v>1</v>
      </c>
      <c r="I23" s="15" t="n">
        <v>900</v>
      </c>
      <c r="J23" s="15" t="n">
        <v>900</v>
      </c>
      <c r="K23" s="15" t="n">
        <v>600</v>
      </c>
      <c r="L23" s="15" t="n">
        <v>6750</v>
      </c>
      <c r="M23" s="15" t="n">
        <v>6300</v>
      </c>
      <c r="N23" s="15" t="n">
        <v>2750</v>
      </c>
      <c r="O23" s="15" t="n">
        <v>0</v>
      </c>
      <c r="P23" s="14" t="s">
        <v>90</v>
      </c>
      <c r="Q23" s="15" t="s">
        <v>262</v>
      </c>
      <c r="R23" s="14" t="s">
        <v>196</v>
      </c>
      <c r="S23" s="14" t="s">
        <v>263</v>
      </c>
      <c r="T23" s="14" t="s">
        <v>264</v>
      </c>
      <c r="U23" s="14" t="s">
        <v>265</v>
      </c>
      <c r="V23" s="14" t="s">
        <v>84</v>
      </c>
      <c r="W23" s="14" t="s">
        <v>266</v>
      </c>
      <c r="X23" s="14"/>
    </row>
    <row r="24" customFormat="false" ht="90" hidden="false" customHeight="true" outlineLevel="0" collapsed="false">
      <c r="A24" s="13" t="s">
        <v>267</v>
      </c>
      <c r="B24" s="14" t="s">
        <v>31</v>
      </c>
      <c r="C24" s="14" t="s">
        <v>27</v>
      </c>
      <c r="D24" s="14" t="s">
        <v>268</v>
      </c>
      <c r="E24" s="14" t="s">
        <v>269</v>
      </c>
      <c r="F24" s="14" t="s">
        <v>270</v>
      </c>
      <c r="G24" s="14" t="s">
        <v>77</v>
      </c>
      <c r="H24" s="15" t="n">
        <v>1</v>
      </c>
      <c r="I24" s="15" t="n">
        <v>350</v>
      </c>
      <c r="J24" s="15" t="n">
        <v>350</v>
      </c>
      <c r="K24" s="15" t="n">
        <v>1500</v>
      </c>
      <c r="L24" s="15" t="n">
        <v>5450</v>
      </c>
      <c r="M24" s="15" t="n">
        <v>7700</v>
      </c>
      <c r="N24" s="15" t="n">
        <v>0</v>
      </c>
      <c r="O24" s="15" t="n">
        <v>0</v>
      </c>
      <c r="P24" s="14" t="s">
        <v>90</v>
      </c>
      <c r="Q24" s="15" t="s">
        <v>271</v>
      </c>
      <c r="R24" s="14" t="s">
        <v>196</v>
      </c>
      <c r="S24" s="14" t="s">
        <v>272</v>
      </c>
      <c r="T24" s="14" t="s">
        <v>273</v>
      </c>
      <c r="U24" s="14" t="s">
        <v>274</v>
      </c>
      <c r="V24" s="14" t="s">
        <v>84</v>
      </c>
      <c r="W24" s="14" t="s">
        <v>266</v>
      </c>
      <c r="X24" s="14"/>
    </row>
    <row r="25" customFormat="false" ht="90" hidden="false" customHeight="true" outlineLevel="0" collapsed="false">
      <c r="A25" s="13" t="s">
        <v>275</v>
      </c>
      <c r="B25" s="14" t="s">
        <v>31</v>
      </c>
      <c r="C25" s="14" t="s">
        <v>27</v>
      </c>
      <c r="D25" s="14" t="s">
        <v>276</v>
      </c>
      <c r="E25" s="14" t="s">
        <v>277</v>
      </c>
      <c r="F25" s="14" t="s">
        <v>278</v>
      </c>
      <c r="G25" s="14" t="s">
        <v>158</v>
      </c>
      <c r="H25" s="15" t="n">
        <v>2</v>
      </c>
      <c r="I25" s="15" t="n">
        <v>200</v>
      </c>
      <c r="J25" s="15" t="n">
        <v>200</v>
      </c>
      <c r="K25" s="15" t="n">
        <v>200</v>
      </c>
      <c r="L25" s="15" t="n">
        <v>7690</v>
      </c>
      <c r="M25" s="15" t="n">
        <v>8170</v>
      </c>
      <c r="N25" s="15" t="n">
        <v>1500</v>
      </c>
      <c r="O25" s="15" t="n">
        <v>0</v>
      </c>
      <c r="P25" s="14" t="s">
        <v>90</v>
      </c>
      <c r="Q25" s="15" t="s">
        <v>279</v>
      </c>
      <c r="R25" s="14"/>
      <c r="S25" s="14" t="s">
        <v>280</v>
      </c>
      <c r="T25" s="14" t="s">
        <v>281</v>
      </c>
      <c r="U25" s="14" t="s">
        <v>282</v>
      </c>
      <c r="V25" s="14" t="s">
        <v>84</v>
      </c>
      <c r="W25" s="14" t="s">
        <v>266</v>
      </c>
      <c r="X25" s="14"/>
    </row>
    <row r="26" customFormat="false" ht="90" hidden="false" customHeight="true" outlineLevel="0" collapsed="false">
      <c r="A26" s="13" t="s">
        <v>283</v>
      </c>
      <c r="B26" s="14" t="s">
        <v>31</v>
      </c>
      <c r="C26" s="14" t="s">
        <v>27</v>
      </c>
      <c r="D26" s="14" t="s">
        <v>284</v>
      </c>
      <c r="E26" s="14" t="s">
        <v>285</v>
      </c>
      <c r="F26" s="14" t="s">
        <v>286</v>
      </c>
      <c r="G26" s="14" t="s">
        <v>245</v>
      </c>
      <c r="H26" s="15" t="n">
        <v>1</v>
      </c>
      <c r="I26" s="15" t="n">
        <v>700</v>
      </c>
      <c r="J26" s="15" t="n">
        <v>40</v>
      </c>
      <c r="K26" s="15" t="n">
        <v>80</v>
      </c>
      <c r="L26" s="15" t="n">
        <v>8550</v>
      </c>
      <c r="M26" s="15" t="n">
        <v>4620</v>
      </c>
      <c r="N26" s="15" t="n">
        <v>2750</v>
      </c>
      <c r="O26" s="15" t="n">
        <v>0</v>
      </c>
      <c r="P26" s="14" t="s">
        <v>183</v>
      </c>
      <c r="Q26" s="15" t="s">
        <v>287</v>
      </c>
      <c r="R26" s="14" t="s">
        <v>196</v>
      </c>
      <c r="S26" s="14" t="s">
        <v>288</v>
      </c>
      <c r="T26" s="14" t="s">
        <v>289</v>
      </c>
      <c r="U26" s="14" t="s">
        <v>290</v>
      </c>
      <c r="V26" s="14" t="s">
        <v>84</v>
      </c>
      <c r="W26" s="14" t="s">
        <v>266</v>
      </c>
      <c r="X26" s="14"/>
    </row>
    <row r="27" customFormat="false" ht="90" hidden="false" customHeight="true" outlineLevel="0" collapsed="false">
      <c r="A27" s="13" t="s">
        <v>291</v>
      </c>
      <c r="B27" s="14" t="s">
        <v>31</v>
      </c>
      <c r="C27" s="14" t="s">
        <v>27</v>
      </c>
      <c r="D27" s="14" t="s">
        <v>292</v>
      </c>
      <c r="E27" s="14" t="s">
        <v>293</v>
      </c>
      <c r="F27" s="14" t="s">
        <v>294</v>
      </c>
      <c r="G27" s="14" t="s">
        <v>77</v>
      </c>
      <c r="H27" s="15" t="n">
        <v>1</v>
      </c>
      <c r="I27" s="15" t="n">
        <v>2400</v>
      </c>
      <c r="J27" s="15" t="n">
        <v>1700</v>
      </c>
      <c r="K27" s="15" t="n">
        <v>12</v>
      </c>
      <c r="L27" s="15" t="n">
        <v>6750</v>
      </c>
      <c r="M27" s="15" t="n">
        <v>6300</v>
      </c>
      <c r="N27" s="15" t="n">
        <v>0</v>
      </c>
      <c r="O27" s="15" t="n">
        <v>0</v>
      </c>
      <c r="P27" s="14" t="s">
        <v>90</v>
      </c>
      <c r="Q27" s="15" t="s">
        <v>295</v>
      </c>
      <c r="R27" s="14" t="s">
        <v>296</v>
      </c>
      <c r="S27" s="14" t="s">
        <v>297</v>
      </c>
      <c r="T27" s="14" t="s">
        <v>298</v>
      </c>
      <c r="U27" s="14" t="s">
        <v>299</v>
      </c>
      <c r="V27" s="14" t="s">
        <v>84</v>
      </c>
      <c r="W27" s="14" t="s">
        <v>266</v>
      </c>
      <c r="X27" s="14"/>
    </row>
    <row r="28" customFormat="false" ht="90" hidden="false" customHeight="true" outlineLevel="0" collapsed="false">
      <c r="A28" s="13" t="s">
        <v>300</v>
      </c>
      <c r="B28" s="14" t="s">
        <v>31</v>
      </c>
      <c r="C28" s="14" t="s">
        <v>27</v>
      </c>
      <c r="D28" s="14" t="s">
        <v>301</v>
      </c>
      <c r="E28" s="14" t="s">
        <v>302</v>
      </c>
      <c r="F28" s="14" t="s">
        <v>303</v>
      </c>
      <c r="G28" s="14" t="s">
        <v>169</v>
      </c>
      <c r="H28" s="15" t="n">
        <v>1</v>
      </c>
      <c r="I28" s="15" t="n">
        <v>250</v>
      </c>
      <c r="J28" s="15" t="n">
        <v>250</v>
      </c>
      <c r="K28" s="15" t="n">
        <v>150</v>
      </c>
      <c r="L28" s="15" t="n">
        <v>5400</v>
      </c>
      <c r="M28" s="15" t="n">
        <v>6200</v>
      </c>
      <c r="N28" s="15" t="s">
        <v>170</v>
      </c>
      <c r="O28" s="15" t="n">
        <v>0</v>
      </c>
      <c r="P28" s="14" t="s">
        <v>90</v>
      </c>
      <c r="Q28" s="15" t="s">
        <v>304</v>
      </c>
      <c r="R28" s="14" t="s">
        <v>305</v>
      </c>
      <c r="S28" s="14" t="s">
        <v>306</v>
      </c>
      <c r="T28" s="14" t="s">
        <v>307</v>
      </c>
      <c r="U28" s="14" t="s">
        <v>308</v>
      </c>
      <c r="V28" s="14" t="s">
        <v>84</v>
      </c>
      <c r="W28" s="14" t="s">
        <v>266</v>
      </c>
      <c r="X28" s="14"/>
    </row>
    <row r="29" customFormat="false" ht="90" hidden="false" customHeight="true" outlineLevel="0" collapsed="false">
      <c r="A29" s="13" t="s">
        <v>309</v>
      </c>
      <c r="B29" s="14" t="s">
        <v>31</v>
      </c>
      <c r="C29" s="14" t="s">
        <v>27</v>
      </c>
      <c r="D29" s="14" t="s">
        <v>310</v>
      </c>
      <c r="E29" s="14" t="s">
        <v>302</v>
      </c>
      <c r="F29" s="14" t="s">
        <v>303</v>
      </c>
      <c r="G29" s="14" t="s">
        <v>169</v>
      </c>
      <c r="H29" s="15" t="n">
        <v>1</v>
      </c>
      <c r="I29" s="15" t="n">
        <v>250</v>
      </c>
      <c r="J29" s="15" t="n">
        <v>250</v>
      </c>
      <c r="K29" s="15" t="n">
        <v>150</v>
      </c>
      <c r="L29" s="15" t="n">
        <v>5400</v>
      </c>
      <c r="M29" s="15" t="n">
        <v>6900</v>
      </c>
      <c r="N29" s="15" t="s">
        <v>170</v>
      </c>
      <c r="O29" s="15" t="n">
        <v>0</v>
      </c>
      <c r="P29" s="14" t="s">
        <v>90</v>
      </c>
      <c r="Q29" s="15" t="s">
        <v>311</v>
      </c>
      <c r="R29" s="14" t="s">
        <v>80</v>
      </c>
      <c r="S29" s="14" t="s">
        <v>312</v>
      </c>
      <c r="T29" s="14" t="s">
        <v>307</v>
      </c>
      <c r="U29" s="14" t="s">
        <v>313</v>
      </c>
      <c r="V29" s="14" t="s">
        <v>84</v>
      </c>
      <c r="W29" s="14" t="s">
        <v>266</v>
      </c>
      <c r="X29" s="14"/>
    </row>
    <row r="30" customFormat="false" ht="90" hidden="false" customHeight="true" outlineLevel="0" collapsed="false">
      <c r="A30" s="13" t="s">
        <v>314</v>
      </c>
      <c r="B30" s="14" t="s">
        <v>32</v>
      </c>
      <c r="C30" s="14" t="s">
        <v>24</v>
      </c>
      <c r="D30" s="14" t="s">
        <v>315</v>
      </c>
      <c r="E30" s="14" t="s">
        <v>316</v>
      </c>
      <c r="F30" s="14" t="s">
        <v>317</v>
      </c>
      <c r="G30" s="14" t="s">
        <v>77</v>
      </c>
      <c r="H30" s="15" t="n">
        <v>1</v>
      </c>
      <c r="I30" s="15" t="n">
        <v>1500</v>
      </c>
      <c r="J30" s="15" t="n">
        <v>250</v>
      </c>
      <c r="K30" s="15" t="n">
        <v>400</v>
      </c>
      <c r="L30" s="15" t="n">
        <v>9162</v>
      </c>
      <c r="M30" s="15" t="n">
        <v>7050</v>
      </c>
      <c r="N30" s="15" t="n">
        <v>0</v>
      </c>
      <c r="O30" s="15" t="n">
        <v>90</v>
      </c>
      <c r="P30" s="14" t="s">
        <v>90</v>
      </c>
      <c r="Q30" s="15" t="s">
        <v>318</v>
      </c>
      <c r="R30" s="14" t="s">
        <v>150</v>
      </c>
      <c r="S30" s="14" t="s">
        <v>319</v>
      </c>
      <c r="T30" s="14" t="s">
        <v>320</v>
      </c>
      <c r="U30" s="14" t="s">
        <v>321</v>
      </c>
      <c r="V30" s="14" t="s">
        <v>114</v>
      </c>
      <c r="W30" s="14" t="s">
        <v>85</v>
      </c>
      <c r="X30" s="14" t="s">
        <v>322</v>
      </c>
    </row>
    <row r="31" customFormat="false" ht="90" hidden="false" customHeight="true" outlineLevel="0" collapsed="false">
      <c r="A31" s="13" t="s">
        <v>323</v>
      </c>
      <c r="B31" s="14" t="s">
        <v>32</v>
      </c>
      <c r="C31" s="14" t="s">
        <v>25</v>
      </c>
      <c r="D31" s="14" t="s">
        <v>324</v>
      </c>
      <c r="E31" s="14" t="s">
        <v>167</v>
      </c>
      <c r="F31" s="14" t="s">
        <v>168</v>
      </c>
      <c r="G31" s="14" t="s">
        <v>169</v>
      </c>
      <c r="H31" s="15" t="n">
        <v>1</v>
      </c>
      <c r="I31" s="15" t="n">
        <v>1200</v>
      </c>
      <c r="J31" s="15" t="n">
        <v>1200</v>
      </c>
      <c r="K31" s="15" t="n">
        <v>150</v>
      </c>
      <c r="L31" s="15" t="n">
        <v>11350</v>
      </c>
      <c r="M31" s="15" t="n">
        <v>6400</v>
      </c>
      <c r="N31" s="15" t="s">
        <v>170</v>
      </c>
      <c r="O31" s="15" t="n">
        <v>0</v>
      </c>
      <c r="P31" s="14" t="s">
        <v>90</v>
      </c>
      <c r="Q31" s="15" t="s">
        <v>325</v>
      </c>
      <c r="R31" s="14"/>
      <c r="S31" s="14" t="s">
        <v>326</v>
      </c>
      <c r="T31" s="14" t="s">
        <v>327</v>
      </c>
      <c r="U31" s="14" t="s">
        <v>328</v>
      </c>
      <c r="V31" s="14" t="s">
        <v>114</v>
      </c>
      <c r="W31" s="14" t="s">
        <v>164</v>
      </c>
      <c r="X31" s="14"/>
    </row>
    <row r="32" customFormat="false" ht="90" hidden="false" customHeight="true" outlineLevel="0" collapsed="false">
      <c r="A32" s="13" t="s">
        <v>329</v>
      </c>
      <c r="B32" s="14" t="s">
        <v>32</v>
      </c>
      <c r="C32" s="14" t="s">
        <v>25</v>
      </c>
      <c r="D32" s="14" t="s">
        <v>330</v>
      </c>
      <c r="E32" s="14" t="s">
        <v>331</v>
      </c>
      <c r="F32" s="14" t="s">
        <v>332</v>
      </c>
      <c r="G32" s="14" t="s">
        <v>77</v>
      </c>
      <c r="H32" s="15" t="n">
        <v>1</v>
      </c>
      <c r="I32" s="15" t="n">
        <v>300</v>
      </c>
      <c r="J32" s="15" t="n">
        <v>300</v>
      </c>
      <c r="K32" s="15" t="n">
        <v>600</v>
      </c>
      <c r="L32" s="15" t="n">
        <v>9162</v>
      </c>
      <c r="M32" s="15" t="n">
        <v>7050</v>
      </c>
      <c r="N32" s="15" t="n">
        <v>0</v>
      </c>
      <c r="O32" s="15" t="n">
        <v>0</v>
      </c>
      <c r="P32" s="14" t="s">
        <v>90</v>
      </c>
      <c r="Q32" s="15" t="s">
        <v>333</v>
      </c>
      <c r="R32" s="14" t="s">
        <v>334</v>
      </c>
      <c r="S32" s="14" t="s">
        <v>335</v>
      </c>
      <c r="T32" s="14" t="s">
        <v>336</v>
      </c>
      <c r="U32" s="14" t="s">
        <v>337</v>
      </c>
      <c r="V32" s="14" t="s">
        <v>114</v>
      </c>
      <c r="W32" s="14" t="s">
        <v>164</v>
      </c>
      <c r="X32" s="14"/>
    </row>
    <row r="33" customFormat="false" ht="90" hidden="false" customHeight="true" outlineLevel="0" collapsed="false">
      <c r="A33" s="13" t="s">
        <v>338</v>
      </c>
      <c r="B33" s="14" t="s">
        <v>32</v>
      </c>
      <c r="C33" s="14" t="s">
        <v>26</v>
      </c>
      <c r="D33" s="14" t="s">
        <v>339</v>
      </c>
      <c r="E33" s="14" t="s">
        <v>226</v>
      </c>
      <c r="F33" s="14" t="s">
        <v>227</v>
      </c>
      <c r="G33" s="14" t="s">
        <v>77</v>
      </c>
      <c r="H33" s="15" t="n">
        <v>1</v>
      </c>
      <c r="I33" s="15" t="n">
        <v>3718</v>
      </c>
      <c r="J33" s="15" t="n">
        <v>40</v>
      </c>
      <c r="K33" s="15" t="n">
        <v>1100</v>
      </c>
      <c r="L33" s="15" t="n">
        <v>9290</v>
      </c>
      <c r="M33" s="15" t="n">
        <v>6418</v>
      </c>
      <c r="N33" s="15" t="n">
        <v>0</v>
      </c>
      <c r="O33" s="15" t="n">
        <v>270</v>
      </c>
      <c r="P33" s="14" t="s">
        <v>120</v>
      </c>
      <c r="Q33" s="15" t="s">
        <v>228</v>
      </c>
      <c r="R33" s="14" t="s">
        <v>229</v>
      </c>
      <c r="S33" s="14" t="s">
        <v>340</v>
      </c>
      <c r="T33" s="14" t="s">
        <v>231</v>
      </c>
      <c r="U33" s="14" t="s">
        <v>341</v>
      </c>
      <c r="V33" s="14" t="s">
        <v>114</v>
      </c>
      <c r="W33" s="14" t="s">
        <v>213</v>
      </c>
      <c r="X33" s="14"/>
    </row>
    <row r="34" customFormat="false" ht="90" hidden="false" customHeight="true" outlineLevel="0" collapsed="false">
      <c r="A34" s="13" t="s">
        <v>342</v>
      </c>
      <c r="B34" s="14" t="s">
        <v>32</v>
      </c>
      <c r="C34" s="14" t="s">
        <v>26</v>
      </c>
      <c r="D34" s="14" t="s">
        <v>343</v>
      </c>
      <c r="E34" s="14" t="s">
        <v>252</v>
      </c>
      <c r="F34" s="14" t="s">
        <v>253</v>
      </c>
      <c r="G34" s="14" t="s">
        <v>77</v>
      </c>
      <c r="H34" s="15" t="n">
        <v>1</v>
      </c>
      <c r="I34" s="15" t="n">
        <v>400</v>
      </c>
      <c r="J34" s="15" t="n">
        <v>37</v>
      </c>
      <c r="K34" s="15" t="n">
        <v>5</v>
      </c>
      <c r="L34" s="15" t="n">
        <v>9244</v>
      </c>
      <c r="M34" s="15" t="n">
        <v>5100</v>
      </c>
      <c r="N34" s="15" t="n">
        <v>0</v>
      </c>
      <c r="O34" s="15" t="n">
        <v>270</v>
      </c>
      <c r="P34" s="14" t="s">
        <v>120</v>
      </c>
      <c r="Q34" s="15" t="s">
        <v>344</v>
      </c>
      <c r="R34" s="14" t="s">
        <v>92</v>
      </c>
      <c r="S34" s="14" t="s">
        <v>345</v>
      </c>
      <c r="T34" s="14" t="s">
        <v>346</v>
      </c>
      <c r="U34" s="14" t="s">
        <v>347</v>
      </c>
      <c r="V34" s="14" t="s">
        <v>84</v>
      </c>
      <c r="W34" s="14" t="s">
        <v>213</v>
      </c>
      <c r="X34" s="14"/>
    </row>
    <row r="35" customFormat="false" ht="90" hidden="false" customHeight="true" outlineLevel="0" collapsed="false">
      <c r="A35" s="13" t="s">
        <v>348</v>
      </c>
      <c r="B35" s="14" t="s">
        <v>32</v>
      </c>
      <c r="C35" s="14" t="s">
        <v>27</v>
      </c>
      <c r="D35" s="14" t="s">
        <v>349</v>
      </c>
      <c r="E35" s="14" t="s">
        <v>350</v>
      </c>
      <c r="F35" s="14" t="s">
        <v>351</v>
      </c>
      <c r="G35" s="14" t="s">
        <v>158</v>
      </c>
      <c r="H35" s="15" t="n">
        <v>1</v>
      </c>
      <c r="I35" s="15" t="n">
        <v>3640</v>
      </c>
      <c r="J35" s="15" t="n">
        <v>45</v>
      </c>
      <c r="K35" s="15" t="n">
        <v>6100</v>
      </c>
      <c r="L35" s="15" t="n">
        <v>12982</v>
      </c>
      <c r="M35" s="15" t="n">
        <v>6420</v>
      </c>
      <c r="N35" s="15" t="n">
        <v>0</v>
      </c>
      <c r="O35" s="15" t="n">
        <v>90</v>
      </c>
      <c r="P35" s="14" t="s">
        <v>78</v>
      </c>
      <c r="Q35" s="15" t="s">
        <v>352</v>
      </c>
      <c r="R35" s="14" t="s">
        <v>353</v>
      </c>
      <c r="S35" s="14" t="s">
        <v>354</v>
      </c>
      <c r="T35" s="14" t="s">
        <v>355</v>
      </c>
      <c r="U35" s="14" t="s">
        <v>356</v>
      </c>
      <c r="V35" s="14" t="s">
        <v>114</v>
      </c>
      <c r="W35" s="14" t="s">
        <v>266</v>
      </c>
      <c r="X35" s="14"/>
    </row>
    <row r="36" customFormat="false" ht="90" hidden="false" customHeight="true" outlineLevel="0" collapsed="false">
      <c r="A36" s="13" t="s">
        <v>357</v>
      </c>
      <c r="B36" s="14" t="s">
        <v>32</v>
      </c>
      <c r="C36" s="14" t="s">
        <v>27</v>
      </c>
      <c r="D36" s="14" t="s">
        <v>358</v>
      </c>
      <c r="E36" s="14" t="s">
        <v>359</v>
      </c>
      <c r="F36" s="14" t="s">
        <v>360</v>
      </c>
      <c r="G36" s="14" t="s">
        <v>169</v>
      </c>
      <c r="H36" s="15" t="n">
        <v>1</v>
      </c>
      <c r="I36" s="15" t="n">
        <v>3640</v>
      </c>
      <c r="J36" s="15" t="n">
        <v>40</v>
      </c>
      <c r="K36" s="15" t="n">
        <v>10</v>
      </c>
      <c r="L36" s="15" t="n">
        <v>9290</v>
      </c>
      <c r="M36" s="15" t="n">
        <v>6420</v>
      </c>
      <c r="N36" s="15" t="s">
        <v>170</v>
      </c>
      <c r="O36" s="15" t="n">
        <v>0</v>
      </c>
      <c r="P36" s="14" t="s">
        <v>90</v>
      </c>
      <c r="Q36" s="15" t="s">
        <v>361</v>
      </c>
      <c r="R36" s="14"/>
      <c r="S36" s="14" t="s">
        <v>362</v>
      </c>
      <c r="T36" s="14" t="s">
        <v>363</v>
      </c>
      <c r="U36" s="14" t="s">
        <v>364</v>
      </c>
      <c r="V36" s="14" t="s">
        <v>84</v>
      </c>
      <c r="W36" s="14" t="s">
        <v>266</v>
      </c>
      <c r="X36" s="14"/>
    </row>
    <row r="37" customFormat="false" ht="90" hidden="false" customHeight="true" outlineLevel="0" collapsed="false">
      <c r="A37" s="13" t="s">
        <v>365</v>
      </c>
      <c r="B37" s="14" t="s">
        <v>32</v>
      </c>
      <c r="C37" s="14" t="s">
        <v>27</v>
      </c>
      <c r="D37" s="14" t="s">
        <v>366</v>
      </c>
      <c r="E37" s="14" t="s">
        <v>285</v>
      </c>
      <c r="F37" s="14" t="s">
        <v>286</v>
      </c>
      <c r="G37" s="14" t="s">
        <v>245</v>
      </c>
      <c r="H37" s="15" t="n">
        <v>1</v>
      </c>
      <c r="I37" s="15" t="n">
        <v>250</v>
      </c>
      <c r="J37" s="15" t="n">
        <v>250</v>
      </c>
      <c r="K37" s="15" t="n">
        <v>80</v>
      </c>
      <c r="L37" s="15" t="n">
        <v>12800</v>
      </c>
      <c r="M37" s="15" t="n">
        <v>6400</v>
      </c>
      <c r="N37" s="15" t="n">
        <v>2750</v>
      </c>
      <c r="O37" s="15" t="n">
        <v>0</v>
      </c>
      <c r="P37" s="14" t="s">
        <v>90</v>
      </c>
      <c r="Q37" s="15" t="s">
        <v>367</v>
      </c>
      <c r="R37" s="14" t="s">
        <v>196</v>
      </c>
      <c r="S37" s="14" t="s">
        <v>368</v>
      </c>
      <c r="T37" s="14" t="s">
        <v>369</v>
      </c>
      <c r="U37" s="14" t="s">
        <v>370</v>
      </c>
      <c r="V37" s="14" t="s">
        <v>84</v>
      </c>
      <c r="W37" s="14" t="s">
        <v>266</v>
      </c>
      <c r="X37" s="14"/>
    </row>
    <row r="38" customFormat="false" ht="90" hidden="false" customHeight="true" outlineLevel="0" collapsed="false">
      <c r="A38" s="13" t="s">
        <v>371</v>
      </c>
      <c r="B38" s="14" t="s">
        <v>33</v>
      </c>
      <c r="C38" s="14" t="s">
        <v>24</v>
      </c>
      <c r="D38" s="14" t="s">
        <v>372</v>
      </c>
      <c r="E38" s="14" t="s">
        <v>373</v>
      </c>
      <c r="F38" s="14" t="s">
        <v>374</v>
      </c>
      <c r="G38" s="14" t="s">
        <v>77</v>
      </c>
      <c r="H38" s="15" t="n">
        <v>1</v>
      </c>
      <c r="I38" s="15" t="n">
        <v>1980</v>
      </c>
      <c r="J38" s="15" t="n">
        <v>1829</v>
      </c>
      <c r="K38" s="15" t="n">
        <v>450</v>
      </c>
      <c r="L38" s="15" t="n">
        <v>2950</v>
      </c>
      <c r="M38" s="15" t="n">
        <v>5784</v>
      </c>
      <c r="N38" s="15" t="n">
        <v>0</v>
      </c>
      <c r="O38" s="15" t="n">
        <v>90</v>
      </c>
      <c r="P38" s="14" t="s">
        <v>78</v>
      </c>
      <c r="Q38" s="15" t="s">
        <v>375</v>
      </c>
      <c r="R38" s="14" t="s">
        <v>122</v>
      </c>
      <c r="S38" s="14" t="s">
        <v>376</v>
      </c>
      <c r="T38" s="14" t="s">
        <v>377</v>
      </c>
      <c r="U38" s="14" t="s">
        <v>378</v>
      </c>
      <c r="V38" s="14" t="s">
        <v>84</v>
      </c>
      <c r="W38" s="14" t="s">
        <v>85</v>
      </c>
      <c r="X38" s="14"/>
    </row>
    <row r="39" customFormat="false" ht="90" hidden="false" customHeight="true" outlineLevel="0" collapsed="false">
      <c r="A39" s="13" t="s">
        <v>379</v>
      </c>
      <c r="B39" s="14" t="s">
        <v>33</v>
      </c>
      <c r="C39" s="14" t="s">
        <v>24</v>
      </c>
      <c r="D39" s="14" t="s">
        <v>380</v>
      </c>
      <c r="E39" s="14" t="s">
        <v>381</v>
      </c>
      <c r="F39" s="14" t="s">
        <v>382</v>
      </c>
      <c r="G39" s="14" t="s">
        <v>77</v>
      </c>
      <c r="H39" s="15" t="n">
        <v>2</v>
      </c>
      <c r="I39" s="15" t="n">
        <v>450</v>
      </c>
      <c r="J39" s="15" t="n">
        <v>450</v>
      </c>
      <c r="K39" s="15" t="n">
        <v>550</v>
      </c>
      <c r="L39" s="15" t="n">
        <v>3715</v>
      </c>
      <c r="M39" s="15" t="n">
        <v>4594</v>
      </c>
      <c r="N39" s="15" t="n">
        <v>0</v>
      </c>
      <c r="O39" s="15" t="n">
        <v>0</v>
      </c>
      <c r="P39" s="14" t="s">
        <v>90</v>
      </c>
      <c r="Q39" s="15" t="s">
        <v>383</v>
      </c>
      <c r="R39" s="14" t="s">
        <v>132</v>
      </c>
      <c r="S39" s="14" t="s">
        <v>384</v>
      </c>
      <c r="T39" s="14" t="s">
        <v>385</v>
      </c>
      <c r="U39" s="14" t="s">
        <v>386</v>
      </c>
      <c r="V39" s="14" t="s">
        <v>84</v>
      </c>
      <c r="W39" s="14" t="s">
        <v>85</v>
      </c>
      <c r="X39" s="14"/>
    </row>
    <row r="40" customFormat="false" ht="90" hidden="false" customHeight="true" outlineLevel="0" collapsed="false">
      <c r="A40" s="13" t="s">
        <v>387</v>
      </c>
      <c r="B40" s="14" t="s">
        <v>33</v>
      </c>
      <c r="C40" s="14" t="s">
        <v>24</v>
      </c>
      <c r="D40" s="14" t="s">
        <v>388</v>
      </c>
      <c r="E40" s="14" t="s">
        <v>389</v>
      </c>
      <c r="F40" s="14" t="s">
        <v>390</v>
      </c>
      <c r="G40" s="14" t="s">
        <v>77</v>
      </c>
      <c r="H40" s="15" t="n">
        <v>3</v>
      </c>
      <c r="I40" s="15" t="n">
        <v>760</v>
      </c>
      <c r="J40" s="15" t="n">
        <v>760</v>
      </c>
      <c r="K40" s="15" t="n">
        <v>800</v>
      </c>
      <c r="L40" s="15" t="n">
        <v>1100</v>
      </c>
      <c r="M40" s="15" t="n">
        <v>7650</v>
      </c>
      <c r="N40" s="15" t="n">
        <v>0</v>
      </c>
      <c r="O40" s="15" t="n">
        <v>180</v>
      </c>
      <c r="P40" s="14" t="s">
        <v>159</v>
      </c>
      <c r="Q40" s="15" t="s">
        <v>391</v>
      </c>
      <c r="R40" s="14" t="s">
        <v>392</v>
      </c>
      <c r="S40" s="14" t="s">
        <v>393</v>
      </c>
      <c r="T40" s="14" t="s">
        <v>394</v>
      </c>
      <c r="U40" s="14" t="s">
        <v>395</v>
      </c>
      <c r="V40" s="14" t="s">
        <v>114</v>
      </c>
      <c r="W40" s="14" t="s">
        <v>85</v>
      </c>
      <c r="X40" s="14" t="s">
        <v>396</v>
      </c>
    </row>
    <row r="41" customFormat="false" ht="90" hidden="false" customHeight="true" outlineLevel="0" collapsed="false">
      <c r="A41" s="13" t="s">
        <v>397</v>
      </c>
      <c r="B41" s="14" t="s">
        <v>33</v>
      </c>
      <c r="C41" s="14" t="s">
        <v>24</v>
      </c>
      <c r="D41" s="14" t="s">
        <v>398</v>
      </c>
      <c r="E41" s="14" t="s">
        <v>399</v>
      </c>
      <c r="F41" s="14" t="s">
        <v>400</v>
      </c>
      <c r="G41" s="14" t="s">
        <v>77</v>
      </c>
      <c r="H41" s="15" t="n">
        <v>1</v>
      </c>
      <c r="I41" s="15" t="n">
        <v>1300</v>
      </c>
      <c r="J41" s="15" t="n">
        <v>450</v>
      </c>
      <c r="K41" s="15" t="n">
        <v>450</v>
      </c>
      <c r="L41" s="15" t="n">
        <v>1685</v>
      </c>
      <c r="M41" s="15" t="n">
        <v>5783</v>
      </c>
      <c r="N41" s="15" t="n">
        <v>0</v>
      </c>
      <c r="O41" s="15" t="n">
        <v>90</v>
      </c>
      <c r="P41" s="14" t="s">
        <v>90</v>
      </c>
      <c r="Q41" s="15" t="s">
        <v>401</v>
      </c>
      <c r="R41" s="14" t="s">
        <v>122</v>
      </c>
      <c r="S41" s="14" t="s">
        <v>402</v>
      </c>
      <c r="T41" s="14" t="s">
        <v>403</v>
      </c>
      <c r="U41" s="14" t="s">
        <v>404</v>
      </c>
      <c r="V41" s="14" t="s">
        <v>84</v>
      </c>
      <c r="W41" s="14" t="s">
        <v>85</v>
      </c>
      <c r="X41" s="14"/>
    </row>
    <row r="42" customFormat="false" ht="90" hidden="false" customHeight="true" outlineLevel="0" collapsed="false">
      <c r="A42" s="13" t="s">
        <v>405</v>
      </c>
      <c r="B42" s="14" t="s">
        <v>33</v>
      </c>
      <c r="C42" s="14" t="s">
        <v>24</v>
      </c>
      <c r="D42" s="14" t="s">
        <v>406</v>
      </c>
      <c r="E42" s="14" t="s">
        <v>407</v>
      </c>
      <c r="F42" s="14" t="s">
        <v>408</v>
      </c>
      <c r="G42" s="14" t="s">
        <v>77</v>
      </c>
      <c r="H42" s="15" t="n">
        <v>1</v>
      </c>
      <c r="I42" s="15" t="n">
        <v>1600</v>
      </c>
      <c r="J42" s="15" t="n">
        <v>400</v>
      </c>
      <c r="K42" s="15" t="n">
        <v>500</v>
      </c>
      <c r="L42" s="15" t="n">
        <v>430</v>
      </c>
      <c r="M42" s="15" t="n">
        <v>5783</v>
      </c>
      <c r="N42" s="15" t="n">
        <v>0</v>
      </c>
      <c r="O42" s="15" t="n">
        <v>270</v>
      </c>
      <c r="P42" s="14" t="s">
        <v>120</v>
      </c>
      <c r="Q42" s="15" t="s">
        <v>409</v>
      </c>
      <c r="R42" s="14" t="s">
        <v>184</v>
      </c>
      <c r="S42" s="14" t="s">
        <v>410</v>
      </c>
      <c r="T42" s="14" t="s">
        <v>411</v>
      </c>
      <c r="U42" s="14" t="s">
        <v>412</v>
      </c>
      <c r="V42" s="14" t="s">
        <v>84</v>
      </c>
      <c r="W42" s="14" t="s">
        <v>85</v>
      </c>
      <c r="X42" s="14"/>
    </row>
    <row r="43" customFormat="false" ht="90" hidden="false" customHeight="true" outlineLevel="0" collapsed="false">
      <c r="A43" s="13" t="s">
        <v>413</v>
      </c>
      <c r="B43" s="14" t="s">
        <v>33</v>
      </c>
      <c r="C43" s="14" t="s">
        <v>24</v>
      </c>
      <c r="D43" s="14" t="s">
        <v>414</v>
      </c>
      <c r="E43" s="14" t="s">
        <v>415</v>
      </c>
      <c r="F43" s="14" t="s">
        <v>416</v>
      </c>
      <c r="G43" s="14" t="s">
        <v>77</v>
      </c>
      <c r="H43" s="15" t="n">
        <v>1</v>
      </c>
      <c r="I43" s="15" t="n">
        <v>1000</v>
      </c>
      <c r="J43" s="15" t="n">
        <v>500</v>
      </c>
      <c r="K43" s="15" t="n">
        <v>750</v>
      </c>
      <c r="L43" s="15" t="n">
        <v>2800</v>
      </c>
      <c r="M43" s="15" t="n">
        <v>4045</v>
      </c>
      <c r="N43" s="15" t="n">
        <v>0</v>
      </c>
      <c r="O43" s="15" t="n">
        <v>180</v>
      </c>
      <c r="P43" s="14" t="s">
        <v>159</v>
      </c>
      <c r="Q43" s="15" t="s">
        <v>417</v>
      </c>
      <c r="R43" s="14" t="s">
        <v>418</v>
      </c>
      <c r="S43" s="14" t="s">
        <v>419</v>
      </c>
      <c r="T43" s="14" t="s">
        <v>420</v>
      </c>
      <c r="U43" s="14" t="s">
        <v>421</v>
      </c>
      <c r="V43" s="14" t="s">
        <v>84</v>
      </c>
      <c r="W43" s="14" t="s">
        <v>85</v>
      </c>
      <c r="X43" s="14" t="s">
        <v>422</v>
      </c>
    </row>
    <row r="44" customFormat="false" ht="90" hidden="false" customHeight="true" outlineLevel="0" collapsed="false">
      <c r="A44" s="13" t="s">
        <v>423</v>
      </c>
      <c r="B44" s="14" t="s">
        <v>33</v>
      </c>
      <c r="C44" s="14" t="s">
        <v>24</v>
      </c>
      <c r="D44" s="14" t="s">
        <v>424</v>
      </c>
      <c r="E44" s="14" t="s">
        <v>147</v>
      </c>
      <c r="F44" s="14" t="s">
        <v>148</v>
      </c>
      <c r="G44" s="14" t="s">
        <v>77</v>
      </c>
      <c r="H44" s="15" t="n">
        <v>1</v>
      </c>
      <c r="I44" s="15" t="n">
        <v>500</v>
      </c>
      <c r="J44" s="15" t="n">
        <v>500</v>
      </c>
      <c r="K44" s="15" t="n">
        <v>1600</v>
      </c>
      <c r="L44" s="15" t="n">
        <v>480</v>
      </c>
      <c r="M44" s="15" t="n">
        <v>6950</v>
      </c>
      <c r="N44" s="15" t="n">
        <v>0</v>
      </c>
      <c r="O44" s="15" t="n">
        <v>0</v>
      </c>
      <c r="P44" s="14" t="s">
        <v>90</v>
      </c>
      <c r="Q44" s="15" t="s">
        <v>149</v>
      </c>
      <c r="R44" s="14" t="s">
        <v>150</v>
      </c>
      <c r="S44" s="14" t="s">
        <v>425</v>
      </c>
      <c r="T44" s="14" t="s">
        <v>426</v>
      </c>
      <c r="U44" s="14" t="s">
        <v>427</v>
      </c>
      <c r="V44" s="14" t="s">
        <v>114</v>
      </c>
      <c r="W44" s="14" t="s">
        <v>85</v>
      </c>
      <c r="X44" s="14"/>
    </row>
    <row r="45" customFormat="false" ht="90" hidden="false" customHeight="true" outlineLevel="0" collapsed="false">
      <c r="A45" s="13" t="s">
        <v>428</v>
      </c>
      <c r="B45" s="14" t="s">
        <v>33</v>
      </c>
      <c r="C45" s="14" t="s">
        <v>25</v>
      </c>
      <c r="D45" s="14" t="s">
        <v>429</v>
      </c>
      <c r="E45" s="14" t="s">
        <v>156</v>
      </c>
      <c r="F45" s="14" t="s">
        <v>157</v>
      </c>
      <c r="G45" s="14" t="s">
        <v>158</v>
      </c>
      <c r="H45" s="15" t="n">
        <v>2</v>
      </c>
      <c r="I45" s="15" t="n">
        <v>850</v>
      </c>
      <c r="J45" s="15" t="n">
        <v>40</v>
      </c>
      <c r="K45" s="15" t="n">
        <v>600</v>
      </c>
      <c r="L45" s="15" t="n">
        <v>825</v>
      </c>
      <c r="M45" s="15" t="n">
        <v>3815</v>
      </c>
      <c r="N45" s="15" t="n">
        <v>1200</v>
      </c>
      <c r="O45" s="15" t="n">
        <v>0</v>
      </c>
      <c r="P45" s="14" t="s">
        <v>183</v>
      </c>
      <c r="Q45" s="15" t="s">
        <v>160</v>
      </c>
      <c r="R45" s="14"/>
      <c r="S45" s="14" t="s">
        <v>430</v>
      </c>
      <c r="T45" s="14" t="s">
        <v>431</v>
      </c>
      <c r="U45" s="14" t="s">
        <v>432</v>
      </c>
      <c r="V45" s="14" t="s">
        <v>84</v>
      </c>
      <c r="W45" s="14" t="s">
        <v>164</v>
      </c>
      <c r="X45" s="14"/>
    </row>
    <row r="46" customFormat="false" ht="90" hidden="false" customHeight="true" outlineLevel="0" collapsed="false">
      <c r="A46" s="13" t="s">
        <v>433</v>
      </c>
      <c r="B46" s="14" t="s">
        <v>33</v>
      </c>
      <c r="C46" s="14" t="s">
        <v>25</v>
      </c>
      <c r="D46" s="14" t="s">
        <v>434</v>
      </c>
      <c r="E46" s="14" t="s">
        <v>156</v>
      </c>
      <c r="F46" s="14" t="s">
        <v>157</v>
      </c>
      <c r="G46" s="14" t="s">
        <v>158</v>
      </c>
      <c r="H46" s="15" t="n">
        <v>1</v>
      </c>
      <c r="I46" s="15" t="n">
        <v>900</v>
      </c>
      <c r="J46" s="15" t="n">
        <v>40</v>
      </c>
      <c r="K46" s="15" t="n">
        <v>1200</v>
      </c>
      <c r="L46" s="15" t="n">
        <v>2800</v>
      </c>
      <c r="M46" s="15" t="n">
        <v>3815</v>
      </c>
      <c r="N46" s="15" t="n">
        <v>900</v>
      </c>
      <c r="O46" s="15" t="n">
        <v>0</v>
      </c>
      <c r="P46" s="14" t="s">
        <v>183</v>
      </c>
      <c r="Q46" s="15" t="s">
        <v>160</v>
      </c>
      <c r="R46" s="14"/>
      <c r="S46" s="14" t="s">
        <v>435</v>
      </c>
      <c r="T46" s="14" t="s">
        <v>436</v>
      </c>
      <c r="U46" s="14" t="s">
        <v>437</v>
      </c>
      <c r="V46" s="14" t="s">
        <v>84</v>
      </c>
      <c r="W46" s="14" t="s">
        <v>164</v>
      </c>
      <c r="X46" s="14"/>
    </row>
    <row r="47" customFormat="false" ht="90" hidden="false" customHeight="true" outlineLevel="0" collapsed="false">
      <c r="A47" s="13" t="s">
        <v>438</v>
      </c>
      <c r="B47" s="14" t="s">
        <v>33</v>
      </c>
      <c r="C47" s="14" t="s">
        <v>25</v>
      </c>
      <c r="D47" s="14" t="s">
        <v>439</v>
      </c>
      <c r="E47" s="14" t="s">
        <v>167</v>
      </c>
      <c r="F47" s="14" t="s">
        <v>168</v>
      </c>
      <c r="G47" s="14" t="s">
        <v>169</v>
      </c>
      <c r="H47" s="15" t="n">
        <v>1</v>
      </c>
      <c r="I47" s="15" t="n">
        <v>250</v>
      </c>
      <c r="J47" s="15" t="n">
        <v>250</v>
      </c>
      <c r="K47" s="15" t="n">
        <v>150</v>
      </c>
      <c r="L47" s="15" t="n">
        <v>3600</v>
      </c>
      <c r="M47" s="15" t="n">
        <v>4450</v>
      </c>
      <c r="N47" s="15" t="s">
        <v>170</v>
      </c>
      <c r="O47" s="15" t="n">
        <v>0</v>
      </c>
      <c r="P47" s="14" t="s">
        <v>90</v>
      </c>
      <c r="Q47" s="15" t="s">
        <v>440</v>
      </c>
      <c r="R47" s="14" t="s">
        <v>441</v>
      </c>
      <c r="S47" s="14" t="s">
        <v>442</v>
      </c>
      <c r="T47" s="14" t="s">
        <v>174</v>
      </c>
      <c r="U47" s="14" t="s">
        <v>443</v>
      </c>
      <c r="V47" s="14" t="s">
        <v>84</v>
      </c>
      <c r="W47" s="14" t="s">
        <v>164</v>
      </c>
      <c r="X47" s="14"/>
    </row>
    <row r="48" customFormat="false" ht="90" hidden="false" customHeight="true" outlineLevel="0" collapsed="false">
      <c r="A48" s="13" t="s">
        <v>444</v>
      </c>
      <c r="B48" s="14" t="s">
        <v>33</v>
      </c>
      <c r="C48" s="14" t="s">
        <v>25</v>
      </c>
      <c r="D48" s="14" t="s">
        <v>445</v>
      </c>
      <c r="E48" s="14" t="s">
        <v>167</v>
      </c>
      <c r="F48" s="14" t="s">
        <v>168</v>
      </c>
      <c r="G48" s="14" t="s">
        <v>169</v>
      </c>
      <c r="H48" s="15" t="n">
        <v>1</v>
      </c>
      <c r="I48" s="15" t="n">
        <v>250</v>
      </c>
      <c r="J48" s="15" t="n">
        <v>250</v>
      </c>
      <c r="K48" s="15" t="n">
        <v>150</v>
      </c>
      <c r="L48" s="15" t="n">
        <v>3600</v>
      </c>
      <c r="M48" s="15" t="n">
        <v>7100</v>
      </c>
      <c r="N48" s="15" t="s">
        <v>170</v>
      </c>
      <c r="O48" s="15" t="n">
        <v>0</v>
      </c>
      <c r="P48" s="14" t="s">
        <v>90</v>
      </c>
      <c r="Q48" s="15" t="s">
        <v>446</v>
      </c>
      <c r="R48" s="14"/>
      <c r="S48" s="14" t="s">
        <v>447</v>
      </c>
      <c r="T48" s="14" t="s">
        <v>174</v>
      </c>
      <c r="U48" s="14" t="s">
        <v>448</v>
      </c>
      <c r="V48" s="14" t="s">
        <v>84</v>
      </c>
      <c r="W48" s="14" t="s">
        <v>164</v>
      </c>
      <c r="X48" s="14"/>
    </row>
    <row r="49" customFormat="false" ht="90" hidden="false" customHeight="true" outlineLevel="0" collapsed="false">
      <c r="A49" s="13" t="s">
        <v>449</v>
      </c>
      <c r="B49" s="14" t="s">
        <v>33</v>
      </c>
      <c r="C49" s="14" t="s">
        <v>25</v>
      </c>
      <c r="D49" s="14" t="s">
        <v>450</v>
      </c>
      <c r="E49" s="14" t="s">
        <v>167</v>
      </c>
      <c r="F49" s="14" t="s">
        <v>168</v>
      </c>
      <c r="G49" s="14" t="s">
        <v>169</v>
      </c>
      <c r="H49" s="15" t="n">
        <v>1</v>
      </c>
      <c r="I49" s="15" t="n">
        <v>250</v>
      </c>
      <c r="J49" s="15" t="n">
        <v>250</v>
      </c>
      <c r="K49" s="15" t="n">
        <v>150</v>
      </c>
      <c r="L49" s="15" t="n">
        <v>1625</v>
      </c>
      <c r="M49" s="15" t="n">
        <v>7850</v>
      </c>
      <c r="N49" s="15" t="s">
        <v>170</v>
      </c>
      <c r="O49" s="15" t="n">
        <v>0</v>
      </c>
      <c r="P49" s="14" t="s">
        <v>90</v>
      </c>
      <c r="Q49" s="15" t="s">
        <v>171</v>
      </c>
      <c r="R49" s="14" t="s">
        <v>172</v>
      </c>
      <c r="S49" s="14" t="s">
        <v>451</v>
      </c>
      <c r="T49" s="14" t="s">
        <v>174</v>
      </c>
      <c r="U49" s="14" t="s">
        <v>452</v>
      </c>
      <c r="V49" s="14" t="s">
        <v>84</v>
      </c>
      <c r="W49" s="14" t="s">
        <v>164</v>
      </c>
      <c r="X49" s="14"/>
    </row>
    <row r="50" customFormat="false" ht="90" hidden="false" customHeight="true" outlineLevel="0" collapsed="false">
      <c r="A50" s="13" t="s">
        <v>453</v>
      </c>
      <c r="B50" s="14" t="s">
        <v>33</v>
      </c>
      <c r="C50" s="14" t="s">
        <v>25</v>
      </c>
      <c r="D50" s="14" t="s">
        <v>454</v>
      </c>
      <c r="E50" s="14" t="s">
        <v>167</v>
      </c>
      <c r="F50" s="14" t="s">
        <v>168</v>
      </c>
      <c r="G50" s="14" t="s">
        <v>169</v>
      </c>
      <c r="H50" s="15" t="n">
        <v>1</v>
      </c>
      <c r="I50" s="15" t="n">
        <v>250</v>
      </c>
      <c r="J50" s="15" t="n">
        <v>250</v>
      </c>
      <c r="K50" s="15" t="n">
        <v>150</v>
      </c>
      <c r="L50" s="15" t="n">
        <v>2700</v>
      </c>
      <c r="M50" s="15" t="n">
        <v>4045</v>
      </c>
      <c r="N50" s="15" t="s">
        <v>170</v>
      </c>
      <c r="O50" s="15" t="n">
        <v>0</v>
      </c>
      <c r="P50" s="14" t="s">
        <v>90</v>
      </c>
      <c r="Q50" s="15" t="s">
        <v>178</v>
      </c>
      <c r="R50" s="14"/>
      <c r="S50" s="14" t="s">
        <v>455</v>
      </c>
      <c r="T50" s="14" t="s">
        <v>174</v>
      </c>
      <c r="U50" s="14" t="s">
        <v>456</v>
      </c>
      <c r="V50" s="14" t="s">
        <v>84</v>
      </c>
      <c r="W50" s="14" t="s">
        <v>164</v>
      </c>
      <c r="X50" s="14"/>
    </row>
    <row r="51" customFormat="false" ht="90" hidden="false" customHeight="true" outlineLevel="0" collapsed="false">
      <c r="A51" s="13" t="s">
        <v>457</v>
      </c>
      <c r="B51" s="14" t="s">
        <v>33</v>
      </c>
      <c r="C51" s="14" t="s">
        <v>25</v>
      </c>
      <c r="D51" s="14" t="s">
        <v>458</v>
      </c>
      <c r="E51" s="14" t="s">
        <v>167</v>
      </c>
      <c r="F51" s="14" t="s">
        <v>168</v>
      </c>
      <c r="G51" s="14" t="s">
        <v>169</v>
      </c>
      <c r="H51" s="15" t="n">
        <v>1</v>
      </c>
      <c r="I51" s="15" t="n">
        <v>250</v>
      </c>
      <c r="J51" s="15" t="n">
        <v>250</v>
      </c>
      <c r="K51" s="15" t="n">
        <v>150</v>
      </c>
      <c r="L51" s="15" t="n">
        <v>1685</v>
      </c>
      <c r="M51" s="15" t="n">
        <v>5783</v>
      </c>
      <c r="N51" s="15" t="s">
        <v>170</v>
      </c>
      <c r="O51" s="15" t="n">
        <v>0</v>
      </c>
      <c r="P51" s="14" t="s">
        <v>90</v>
      </c>
      <c r="Q51" s="15" t="s">
        <v>201</v>
      </c>
      <c r="R51" s="14" t="s">
        <v>441</v>
      </c>
      <c r="S51" s="14" t="s">
        <v>459</v>
      </c>
      <c r="T51" s="14" t="s">
        <v>174</v>
      </c>
      <c r="U51" s="14" t="s">
        <v>460</v>
      </c>
      <c r="V51" s="14" t="s">
        <v>84</v>
      </c>
      <c r="W51" s="14" t="s">
        <v>164</v>
      </c>
      <c r="X51" s="14"/>
    </row>
    <row r="52" customFormat="false" ht="90" hidden="false" customHeight="true" outlineLevel="0" collapsed="false">
      <c r="A52" s="13" t="s">
        <v>461</v>
      </c>
      <c r="B52" s="14" t="s">
        <v>33</v>
      </c>
      <c r="C52" s="14" t="s">
        <v>26</v>
      </c>
      <c r="D52" s="14" t="s">
        <v>462</v>
      </c>
      <c r="E52" s="14" t="s">
        <v>235</v>
      </c>
      <c r="F52" s="14" t="s">
        <v>236</v>
      </c>
      <c r="G52" s="14" t="s">
        <v>158</v>
      </c>
      <c r="H52" s="15" t="n">
        <v>1</v>
      </c>
      <c r="I52" s="15" t="n">
        <v>2750</v>
      </c>
      <c r="J52" s="15" t="n">
        <v>100</v>
      </c>
      <c r="K52" s="15" t="n">
        <v>2700</v>
      </c>
      <c r="L52" s="15" t="n">
        <v>3990</v>
      </c>
      <c r="M52" s="15" t="n">
        <v>5775</v>
      </c>
      <c r="N52" s="15" t="n">
        <v>0</v>
      </c>
      <c r="O52" s="15" t="n">
        <v>90</v>
      </c>
      <c r="P52" s="14" t="s">
        <v>78</v>
      </c>
      <c r="Q52" s="15" t="s">
        <v>463</v>
      </c>
      <c r="R52" s="14" t="s">
        <v>464</v>
      </c>
      <c r="S52" s="14" t="s">
        <v>465</v>
      </c>
      <c r="T52" s="14" t="s">
        <v>466</v>
      </c>
      <c r="U52" s="14" t="s">
        <v>467</v>
      </c>
      <c r="V52" s="14" t="s">
        <v>84</v>
      </c>
      <c r="W52" s="14" t="s">
        <v>213</v>
      </c>
      <c r="X52" s="14"/>
    </row>
    <row r="53" customFormat="false" ht="90" hidden="false" customHeight="true" outlineLevel="0" collapsed="false">
      <c r="A53" s="13" t="s">
        <v>468</v>
      </c>
      <c r="B53" s="14" t="s">
        <v>33</v>
      </c>
      <c r="C53" s="14" t="s">
        <v>26</v>
      </c>
      <c r="D53" s="14" t="s">
        <v>469</v>
      </c>
      <c r="E53" s="14" t="s">
        <v>235</v>
      </c>
      <c r="F53" s="14" t="s">
        <v>236</v>
      </c>
      <c r="G53" s="14" t="s">
        <v>158</v>
      </c>
      <c r="H53" s="15" t="n">
        <v>1</v>
      </c>
      <c r="I53" s="15" t="n">
        <v>2000</v>
      </c>
      <c r="J53" s="15" t="n">
        <v>40</v>
      </c>
      <c r="K53" s="15" t="n">
        <v>2700</v>
      </c>
      <c r="L53" s="15" t="n">
        <v>250</v>
      </c>
      <c r="M53" s="15" t="n">
        <v>5783</v>
      </c>
      <c r="N53" s="15" t="n">
        <v>0</v>
      </c>
      <c r="O53" s="15" t="n">
        <v>270</v>
      </c>
      <c r="P53" s="14" t="s">
        <v>120</v>
      </c>
      <c r="Q53" s="15" t="s">
        <v>470</v>
      </c>
      <c r="R53" s="14" t="s">
        <v>184</v>
      </c>
      <c r="S53" s="14" t="s">
        <v>471</v>
      </c>
      <c r="T53" s="14" t="s">
        <v>472</v>
      </c>
      <c r="U53" s="14" t="s">
        <v>473</v>
      </c>
      <c r="V53" s="14" t="s">
        <v>84</v>
      </c>
      <c r="W53" s="14" t="s">
        <v>213</v>
      </c>
      <c r="X53" s="14"/>
    </row>
    <row r="54" customFormat="false" ht="90" hidden="false" customHeight="true" outlineLevel="0" collapsed="false">
      <c r="A54" s="13" t="s">
        <v>474</v>
      </c>
      <c r="B54" s="14" t="s">
        <v>33</v>
      </c>
      <c r="C54" s="14" t="s">
        <v>26</v>
      </c>
      <c r="D54" s="14" t="s">
        <v>475</v>
      </c>
      <c r="E54" s="14" t="s">
        <v>243</v>
      </c>
      <c r="F54" s="14" t="s">
        <v>244</v>
      </c>
      <c r="G54" s="14" t="s">
        <v>245</v>
      </c>
      <c r="H54" s="15" t="n">
        <v>1</v>
      </c>
      <c r="I54" s="15" t="n">
        <v>2600</v>
      </c>
      <c r="J54" s="15" t="n">
        <v>2550</v>
      </c>
      <c r="K54" s="15" t="n">
        <v>200</v>
      </c>
      <c r="L54" s="15" t="n">
        <v>2575</v>
      </c>
      <c r="M54" s="15" t="n">
        <v>5800</v>
      </c>
      <c r="N54" s="15" t="n">
        <v>2950</v>
      </c>
      <c r="O54" s="15" t="n">
        <v>0</v>
      </c>
      <c r="P54" s="14" t="s">
        <v>90</v>
      </c>
      <c r="Q54" s="15" t="s">
        <v>246</v>
      </c>
      <c r="R54" s="14" t="s">
        <v>209</v>
      </c>
      <c r="S54" s="14" t="s">
        <v>476</v>
      </c>
      <c r="T54" s="14" t="s">
        <v>477</v>
      </c>
      <c r="U54" s="14" t="s">
        <v>478</v>
      </c>
      <c r="V54" s="14" t="s">
        <v>84</v>
      </c>
      <c r="W54" s="14" t="s">
        <v>213</v>
      </c>
      <c r="X54" s="14"/>
    </row>
    <row r="55" customFormat="false" ht="90" hidden="false" customHeight="true" outlineLevel="0" collapsed="false">
      <c r="A55" s="13" t="s">
        <v>479</v>
      </c>
      <c r="B55" s="14" t="s">
        <v>33</v>
      </c>
      <c r="C55" s="14" t="s">
        <v>26</v>
      </c>
      <c r="D55" s="14" t="s">
        <v>480</v>
      </c>
      <c r="E55" s="14" t="s">
        <v>481</v>
      </c>
      <c r="F55" s="14" t="s">
        <v>482</v>
      </c>
      <c r="G55" s="14" t="s">
        <v>158</v>
      </c>
      <c r="H55" s="15" t="n">
        <v>1</v>
      </c>
      <c r="I55" s="15" t="n">
        <v>900</v>
      </c>
      <c r="J55" s="15" t="n">
        <v>30</v>
      </c>
      <c r="K55" s="15" t="n">
        <v>900</v>
      </c>
      <c r="L55" s="15" t="n">
        <v>245</v>
      </c>
      <c r="M55" s="15" t="n">
        <v>7750</v>
      </c>
      <c r="N55" s="15" t="n">
        <v>1050</v>
      </c>
      <c r="O55" s="15" t="n">
        <v>270</v>
      </c>
      <c r="P55" s="14" t="s">
        <v>120</v>
      </c>
      <c r="Q55" s="15" t="s">
        <v>483</v>
      </c>
      <c r="R55" s="14" t="s">
        <v>441</v>
      </c>
      <c r="S55" s="14" t="s">
        <v>484</v>
      </c>
      <c r="T55" s="14" t="s">
        <v>485</v>
      </c>
      <c r="U55" s="14" t="s">
        <v>486</v>
      </c>
      <c r="V55" s="14" t="s">
        <v>84</v>
      </c>
      <c r="W55" s="14" t="s">
        <v>213</v>
      </c>
      <c r="X55" s="14"/>
    </row>
    <row r="56" customFormat="false" ht="90" hidden="false" customHeight="true" outlineLevel="0" collapsed="false">
      <c r="A56" s="13" t="s">
        <v>487</v>
      </c>
      <c r="B56" s="14" t="s">
        <v>33</v>
      </c>
      <c r="C56" s="14" t="s">
        <v>26</v>
      </c>
      <c r="D56" s="14" t="s">
        <v>488</v>
      </c>
      <c r="E56" s="14" t="s">
        <v>216</v>
      </c>
      <c r="F56" s="14" t="s">
        <v>217</v>
      </c>
      <c r="G56" s="14" t="s">
        <v>218</v>
      </c>
      <c r="H56" s="15" t="n">
        <v>1</v>
      </c>
      <c r="I56" s="15" t="n">
        <v>4482</v>
      </c>
      <c r="J56" s="15" t="n">
        <v>3810</v>
      </c>
      <c r="K56" s="15" t="n">
        <v>15</v>
      </c>
      <c r="L56" s="15" t="n">
        <v>2135</v>
      </c>
      <c r="M56" s="15" t="n">
        <v>6036</v>
      </c>
      <c r="N56" s="15" t="n">
        <v>0</v>
      </c>
      <c r="O56" s="15" t="n">
        <v>0</v>
      </c>
      <c r="P56" s="14" t="s">
        <v>90</v>
      </c>
      <c r="Q56" s="15" t="s">
        <v>489</v>
      </c>
      <c r="R56" s="14" t="s">
        <v>490</v>
      </c>
      <c r="S56" s="14" t="s">
        <v>491</v>
      </c>
      <c r="T56" s="14" t="s">
        <v>492</v>
      </c>
      <c r="U56" s="14" t="s">
        <v>493</v>
      </c>
      <c r="V56" s="14" t="s">
        <v>84</v>
      </c>
      <c r="W56" s="14" t="s">
        <v>213</v>
      </c>
      <c r="X56" s="14"/>
    </row>
    <row r="57" customFormat="false" ht="90" hidden="false" customHeight="true" outlineLevel="0" collapsed="false">
      <c r="A57" s="13" t="s">
        <v>494</v>
      </c>
      <c r="B57" s="14" t="s">
        <v>33</v>
      </c>
      <c r="C57" s="14" t="s">
        <v>27</v>
      </c>
      <c r="D57" s="14" t="s">
        <v>495</v>
      </c>
      <c r="E57" s="14" t="s">
        <v>496</v>
      </c>
      <c r="F57" s="14" t="s">
        <v>497</v>
      </c>
      <c r="G57" s="14" t="s">
        <v>245</v>
      </c>
      <c r="H57" s="15" t="n">
        <v>2</v>
      </c>
      <c r="I57" s="15" t="n">
        <v>1900</v>
      </c>
      <c r="J57" s="15" t="n">
        <v>40</v>
      </c>
      <c r="K57" s="15" t="n">
        <v>40</v>
      </c>
      <c r="L57" s="15" t="n">
        <v>2950</v>
      </c>
      <c r="M57" s="15" t="n">
        <v>4750</v>
      </c>
      <c r="N57" s="15" t="n">
        <v>2750</v>
      </c>
      <c r="O57" s="15" t="n">
        <v>0</v>
      </c>
      <c r="P57" s="14" t="s">
        <v>90</v>
      </c>
      <c r="Q57" s="15" t="s">
        <v>498</v>
      </c>
      <c r="R57" s="14" t="s">
        <v>196</v>
      </c>
      <c r="S57" s="14" t="s">
        <v>499</v>
      </c>
      <c r="T57" s="14" t="s">
        <v>500</v>
      </c>
      <c r="U57" s="14" t="s">
        <v>501</v>
      </c>
      <c r="V57" s="14" t="s">
        <v>84</v>
      </c>
      <c r="W57" s="14" t="s">
        <v>266</v>
      </c>
      <c r="X57" s="14"/>
    </row>
    <row r="58" customFormat="false" ht="90" hidden="false" customHeight="true" outlineLevel="0" collapsed="false">
      <c r="A58" s="13" t="s">
        <v>502</v>
      </c>
      <c r="B58" s="14" t="s">
        <v>33</v>
      </c>
      <c r="C58" s="14" t="s">
        <v>27</v>
      </c>
      <c r="D58" s="14" t="s">
        <v>503</v>
      </c>
      <c r="E58" s="14" t="s">
        <v>504</v>
      </c>
      <c r="F58" s="14" t="s">
        <v>505</v>
      </c>
      <c r="G58" s="14" t="s">
        <v>245</v>
      </c>
      <c r="H58" s="15" t="n">
        <v>2</v>
      </c>
      <c r="I58" s="15" t="n">
        <v>260</v>
      </c>
      <c r="J58" s="15" t="n">
        <v>260</v>
      </c>
      <c r="K58" s="15" t="n">
        <v>350</v>
      </c>
      <c r="L58" s="15" t="n">
        <v>3715</v>
      </c>
      <c r="M58" s="15" t="n">
        <v>4594</v>
      </c>
      <c r="N58" s="15" t="n">
        <v>2750</v>
      </c>
      <c r="O58" s="15" t="n">
        <v>0</v>
      </c>
      <c r="P58" s="14" t="s">
        <v>90</v>
      </c>
      <c r="Q58" s="15" t="s">
        <v>506</v>
      </c>
      <c r="R58" s="14" t="s">
        <v>507</v>
      </c>
      <c r="S58" s="14" t="s">
        <v>508</v>
      </c>
      <c r="T58" s="14" t="s">
        <v>509</v>
      </c>
      <c r="U58" s="14" t="s">
        <v>510</v>
      </c>
      <c r="V58" s="14" t="s">
        <v>84</v>
      </c>
      <c r="W58" s="14" t="s">
        <v>266</v>
      </c>
      <c r="X58" s="14"/>
    </row>
    <row r="59" customFormat="false" ht="90" hidden="false" customHeight="true" outlineLevel="0" collapsed="false">
      <c r="A59" s="13" t="s">
        <v>511</v>
      </c>
      <c r="B59" s="14" t="s">
        <v>33</v>
      </c>
      <c r="C59" s="14" t="s">
        <v>27</v>
      </c>
      <c r="D59" s="14" t="s">
        <v>512</v>
      </c>
      <c r="E59" s="14" t="s">
        <v>359</v>
      </c>
      <c r="F59" s="14" t="s">
        <v>360</v>
      </c>
      <c r="G59" s="14" t="s">
        <v>169</v>
      </c>
      <c r="H59" s="15" t="n">
        <v>1</v>
      </c>
      <c r="I59" s="15" t="n">
        <v>2020</v>
      </c>
      <c r="J59" s="15" t="n">
        <v>1869</v>
      </c>
      <c r="K59" s="15" t="n">
        <v>10</v>
      </c>
      <c r="L59" s="15" t="n">
        <v>2950</v>
      </c>
      <c r="M59" s="15" t="n">
        <v>5784</v>
      </c>
      <c r="N59" s="15" t="s">
        <v>170</v>
      </c>
      <c r="O59" s="15" t="n">
        <v>0</v>
      </c>
      <c r="P59" s="14" t="s">
        <v>90</v>
      </c>
      <c r="Q59" s="15" t="s">
        <v>361</v>
      </c>
      <c r="R59" s="14"/>
      <c r="S59" s="14" t="s">
        <v>513</v>
      </c>
      <c r="T59" s="14" t="s">
        <v>514</v>
      </c>
      <c r="U59" s="14" t="s">
        <v>515</v>
      </c>
      <c r="V59" s="14" t="s">
        <v>84</v>
      </c>
      <c r="W59" s="14" t="s">
        <v>266</v>
      </c>
      <c r="X59" s="14"/>
    </row>
    <row r="60" customFormat="false" ht="90" hidden="false" customHeight="true" outlineLevel="0" collapsed="false">
      <c r="A60" s="13" t="s">
        <v>516</v>
      </c>
      <c r="B60" s="14" t="s">
        <v>33</v>
      </c>
      <c r="C60" s="14" t="s">
        <v>27</v>
      </c>
      <c r="D60" s="14" t="s">
        <v>517</v>
      </c>
      <c r="E60" s="14" t="s">
        <v>269</v>
      </c>
      <c r="F60" s="14" t="s">
        <v>270</v>
      </c>
      <c r="G60" s="14" t="s">
        <v>77</v>
      </c>
      <c r="H60" s="15" t="n">
        <v>1</v>
      </c>
      <c r="I60" s="15" t="n">
        <v>300</v>
      </c>
      <c r="J60" s="15" t="n">
        <v>300</v>
      </c>
      <c r="K60" s="15" t="n">
        <v>1500</v>
      </c>
      <c r="L60" s="15" t="n">
        <v>2650</v>
      </c>
      <c r="M60" s="15" t="n">
        <v>7750</v>
      </c>
      <c r="N60" s="15" t="n">
        <v>0</v>
      </c>
      <c r="O60" s="15" t="n">
        <v>0</v>
      </c>
      <c r="P60" s="14" t="s">
        <v>90</v>
      </c>
      <c r="Q60" s="15" t="s">
        <v>271</v>
      </c>
      <c r="R60" s="14"/>
      <c r="S60" s="14" t="s">
        <v>518</v>
      </c>
      <c r="T60" s="14" t="s">
        <v>519</v>
      </c>
      <c r="U60" s="14" t="s">
        <v>520</v>
      </c>
      <c r="V60" s="14" t="s">
        <v>84</v>
      </c>
      <c r="W60" s="14" t="s">
        <v>266</v>
      </c>
      <c r="X60" s="14"/>
    </row>
    <row r="61" customFormat="false" ht="90" hidden="false" customHeight="true" outlineLevel="0" collapsed="false">
      <c r="A61" s="13" t="s">
        <v>521</v>
      </c>
      <c r="B61" s="14" t="s">
        <v>33</v>
      </c>
      <c r="C61" s="14" t="s">
        <v>27</v>
      </c>
      <c r="D61" s="14" t="s">
        <v>522</v>
      </c>
      <c r="E61" s="14" t="s">
        <v>523</v>
      </c>
      <c r="F61" s="14" t="s">
        <v>524</v>
      </c>
      <c r="G61" s="14" t="s">
        <v>245</v>
      </c>
      <c r="H61" s="15" t="n">
        <v>1</v>
      </c>
      <c r="I61" s="15" t="n">
        <v>1200</v>
      </c>
      <c r="J61" s="15" t="n">
        <v>1200</v>
      </c>
      <c r="K61" s="15" t="n">
        <v>400</v>
      </c>
      <c r="L61" s="15" t="n">
        <v>1400</v>
      </c>
      <c r="M61" s="15" t="n">
        <v>6000</v>
      </c>
      <c r="N61" s="15" t="n">
        <v>2750</v>
      </c>
      <c r="O61" s="15" t="n">
        <v>0</v>
      </c>
      <c r="P61" s="14" t="s">
        <v>90</v>
      </c>
      <c r="Q61" s="15" t="s">
        <v>525</v>
      </c>
      <c r="R61" s="14" t="s">
        <v>526</v>
      </c>
      <c r="S61" s="14" t="s">
        <v>527</v>
      </c>
      <c r="T61" s="14" t="s">
        <v>528</v>
      </c>
      <c r="U61" s="14" t="s">
        <v>529</v>
      </c>
      <c r="V61" s="14" t="s">
        <v>84</v>
      </c>
      <c r="W61" s="14" t="s">
        <v>266</v>
      </c>
      <c r="X61" s="14"/>
    </row>
    <row r="62" customFormat="false" ht="90" hidden="false" customHeight="true" outlineLevel="0" collapsed="false">
      <c r="A62" s="13" t="s">
        <v>530</v>
      </c>
      <c r="B62" s="14" t="s">
        <v>33</v>
      </c>
      <c r="C62" s="14" t="s">
        <v>27</v>
      </c>
      <c r="D62" s="14" t="s">
        <v>531</v>
      </c>
      <c r="E62" s="14" t="s">
        <v>350</v>
      </c>
      <c r="F62" s="14" t="s">
        <v>351</v>
      </c>
      <c r="G62" s="14" t="s">
        <v>158</v>
      </c>
      <c r="H62" s="15" t="n">
        <v>1</v>
      </c>
      <c r="I62" s="15" t="n">
        <v>2840</v>
      </c>
      <c r="J62" s="15" t="n">
        <v>47</v>
      </c>
      <c r="K62" s="15" t="n">
        <v>2700</v>
      </c>
      <c r="L62" s="15" t="n">
        <v>1680</v>
      </c>
      <c r="M62" s="15" t="n">
        <v>8254</v>
      </c>
      <c r="N62" s="15" t="n">
        <v>0</v>
      </c>
      <c r="O62" s="15" t="n">
        <v>180</v>
      </c>
      <c r="P62" s="14" t="s">
        <v>159</v>
      </c>
      <c r="Q62" s="15" t="s">
        <v>532</v>
      </c>
      <c r="R62" s="14" t="s">
        <v>353</v>
      </c>
      <c r="S62" s="14" t="s">
        <v>533</v>
      </c>
      <c r="T62" s="14" t="s">
        <v>534</v>
      </c>
      <c r="U62" s="14" t="s">
        <v>535</v>
      </c>
      <c r="V62" s="14" t="s">
        <v>114</v>
      </c>
      <c r="W62" s="14" t="s">
        <v>266</v>
      </c>
      <c r="X62" s="14"/>
    </row>
    <row r="63" customFormat="false" ht="90" hidden="false" customHeight="true" outlineLevel="0" collapsed="false">
      <c r="A63" s="13" t="s">
        <v>536</v>
      </c>
      <c r="B63" s="14" t="s">
        <v>33</v>
      </c>
      <c r="C63" s="14" t="s">
        <v>27</v>
      </c>
      <c r="D63" s="14" t="s">
        <v>537</v>
      </c>
      <c r="E63" s="14" t="s">
        <v>293</v>
      </c>
      <c r="F63" s="14" t="s">
        <v>294</v>
      </c>
      <c r="G63" s="14" t="s">
        <v>77</v>
      </c>
      <c r="H63" s="15" t="n">
        <v>1</v>
      </c>
      <c r="I63" s="15" t="n">
        <v>3000</v>
      </c>
      <c r="J63" s="15" t="n">
        <v>2400</v>
      </c>
      <c r="K63" s="15" t="n">
        <v>12</v>
      </c>
      <c r="L63" s="15" t="n">
        <v>2600</v>
      </c>
      <c r="M63" s="15" t="n">
        <v>5800</v>
      </c>
      <c r="N63" s="15" t="n">
        <v>0</v>
      </c>
      <c r="O63" s="15" t="n">
        <v>0</v>
      </c>
      <c r="P63" s="14" t="s">
        <v>90</v>
      </c>
      <c r="Q63" s="15" t="s">
        <v>538</v>
      </c>
      <c r="R63" s="14" t="s">
        <v>296</v>
      </c>
      <c r="S63" s="14" t="s">
        <v>539</v>
      </c>
      <c r="T63" s="14" t="s">
        <v>540</v>
      </c>
      <c r="U63" s="14" t="s">
        <v>541</v>
      </c>
      <c r="V63" s="14" t="s">
        <v>84</v>
      </c>
      <c r="W63" s="14" t="s">
        <v>266</v>
      </c>
      <c r="X63" s="14"/>
    </row>
    <row r="64" customFormat="false" ht="90" hidden="false" customHeight="true" outlineLevel="0" collapsed="false">
      <c r="A64" s="13" t="s">
        <v>542</v>
      </c>
      <c r="B64" s="14" t="s">
        <v>33</v>
      </c>
      <c r="C64" s="14" t="s">
        <v>27</v>
      </c>
      <c r="D64" s="14" t="s">
        <v>543</v>
      </c>
      <c r="E64" s="14" t="s">
        <v>302</v>
      </c>
      <c r="F64" s="14" t="s">
        <v>303</v>
      </c>
      <c r="G64" s="14" t="s">
        <v>169</v>
      </c>
      <c r="H64" s="15" t="n">
        <v>1</v>
      </c>
      <c r="I64" s="15" t="n">
        <v>250</v>
      </c>
      <c r="J64" s="15" t="n">
        <v>250</v>
      </c>
      <c r="K64" s="15" t="n">
        <v>150</v>
      </c>
      <c r="L64" s="15" t="n">
        <v>3000</v>
      </c>
      <c r="M64" s="15" t="n">
        <v>5783</v>
      </c>
      <c r="N64" s="15" t="s">
        <v>170</v>
      </c>
      <c r="O64" s="15" t="n">
        <v>0</v>
      </c>
      <c r="P64" s="14" t="s">
        <v>90</v>
      </c>
      <c r="Q64" s="15" t="s">
        <v>544</v>
      </c>
      <c r="R64" s="14" t="s">
        <v>545</v>
      </c>
      <c r="S64" s="14" t="s">
        <v>546</v>
      </c>
      <c r="T64" s="14" t="s">
        <v>307</v>
      </c>
      <c r="U64" s="14" t="s">
        <v>547</v>
      </c>
      <c r="V64" s="14" t="s">
        <v>114</v>
      </c>
      <c r="W64" s="14" t="s">
        <v>266</v>
      </c>
      <c r="X64" s="14"/>
    </row>
    <row r="65" customFormat="false" ht="90" hidden="false" customHeight="true" outlineLevel="0" collapsed="false">
      <c r="A65" s="13" t="s">
        <v>548</v>
      </c>
      <c r="B65" s="14" t="s">
        <v>34</v>
      </c>
      <c r="C65" s="14" t="s">
        <v>24</v>
      </c>
      <c r="D65" s="14" t="s">
        <v>549</v>
      </c>
      <c r="E65" s="14" t="s">
        <v>550</v>
      </c>
      <c r="F65" s="14" t="s">
        <v>551</v>
      </c>
      <c r="G65" s="14" t="s">
        <v>77</v>
      </c>
      <c r="H65" s="15" t="n">
        <v>2</v>
      </c>
      <c r="I65" s="15" t="n">
        <v>3387</v>
      </c>
      <c r="J65" s="15" t="n">
        <v>600</v>
      </c>
      <c r="K65" s="15" t="n">
        <v>2700</v>
      </c>
      <c r="L65" s="15" t="n">
        <v>530</v>
      </c>
      <c r="M65" s="15" t="n">
        <v>1994</v>
      </c>
      <c r="N65" s="15" t="n">
        <v>0</v>
      </c>
      <c r="O65" s="15" t="n">
        <v>90</v>
      </c>
      <c r="P65" s="14" t="s">
        <v>90</v>
      </c>
      <c r="Q65" s="15" t="s">
        <v>552</v>
      </c>
      <c r="R65" s="14" t="s">
        <v>110</v>
      </c>
      <c r="S65" s="14" t="s">
        <v>553</v>
      </c>
      <c r="T65" s="14" t="s">
        <v>554</v>
      </c>
      <c r="U65" s="14" t="s">
        <v>555</v>
      </c>
      <c r="V65" s="14" t="s">
        <v>114</v>
      </c>
      <c r="W65" s="14" t="s">
        <v>85</v>
      </c>
      <c r="X65" s="14" t="s">
        <v>556</v>
      </c>
    </row>
    <row r="66" customFormat="false" ht="90" hidden="false" customHeight="true" outlineLevel="0" collapsed="false">
      <c r="A66" s="13" t="s">
        <v>557</v>
      </c>
      <c r="B66" s="14" t="s">
        <v>34</v>
      </c>
      <c r="C66" s="14" t="s">
        <v>24</v>
      </c>
      <c r="D66" s="14" t="s">
        <v>558</v>
      </c>
      <c r="E66" s="14" t="s">
        <v>559</v>
      </c>
      <c r="F66" s="14" t="s">
        <v>560</v>
      </c>
      <c r="G66" s="14" t="s">
        <v>77</v>
      </c>
      <c r="H66" s="15" t="n">
        <v>1</v>
      </c>
      <c r="I66" s="15" t="n">
        <v>600</v>
      </c>
      <c r="J66" s="15" t="n">
        <v>550</v>
      </c>
      <c r="K66" s="15" t="n">
        <v>900</v>
      </c>
      <c r="L66" s="15" t="n">
        <v>1964</v>
      </c>
      <c r="M66" s="15" t="n">
        <v>975</v>
      </c>
      <c r="N66" s="15" t="n">
        <v>0</v>
      </c>
      <c r="O66" s="15" t="n">
        <v>0</v>
      </c>
      <c r="P66" s="14" t="s">
        <v>90</v>
      </c>
      <c r="Q66" s="15" t="s">
        <v>561</v>
      </c>
      <c r="R66" s="14" t="s">
        <v>441</v>
      </c>
      <c r="S66" s="14" t="s">
        <v>562</v>
      </c>
      <c r="T66" s="14" t="s">
        <v>563</v>
      </c>
      <c r="U66" s="14" t="s">
        <v>564</v>
      </c>
      <c r="V66" s="14" t="s">
        <v>84</v>
      </c>
      <c r="W66" s="14" t="s">
        <v>85</v>
      </c>
      <c r="X66" s="14"/>
    </row>
    <row r="67" customFormat="false" ht="90" hidden="false" customHeight="true" outlineLevel="0" collapsed="false">
      <c r="A67" s="13" t="s">
        <v>565</v>
      </c>
      <c r="B67" s="14" t="s">
        <v>34</v>
      </c>
      <c r="C67" s="14" t="s">
        <v>24</v>
      </c>
      <c r="D67" s="14" t="s">
        <v>566</v>
      </c>
      <c r="E67" s="14" t="s">
        <v>567</v>
      </c>
      <c r="F67" s="14" t="s">
        <v>568</v>
      </c>
      <c r="G67" s="14" t="s">
        <v>169</v>
      </c>
      <c r="H67" s="15" t="n">
        <v>1</v>
      </c>
      <c r="I67" s="15" t="n">
        <v>250</v>
      </c>
      <c r="J67" s="15" t="n">
        <v>250</v>
      </c>
      <c r="K67" s="15" t="n">
        <v>0</v>
      </c>
      <c r="L67" s="15" t="n">
        <v>1964</v>
      </c>
      <c r="M67" s="15" t="n">
        <v>975</v>
      </c>
      <c r="N67" s="15" t="s">
        <v>170</v>
      </c>
      <c r="O67" s="15" t="n">
        <v>0</v>
      </c>
      <c r="P67" s="14" t="s">
        <v>90</v>
      </c>
      <c r="Q67" s="15" t="s">
        <v>569</v>
      </c>
      <c r="R67" s="14" t="s">
        <v>570</v>
      </c>
      <c r="S67" s="14" t="s">
        <v>571</v>
      </c>
      <c r="T67" s="14" t="s">
        <v>572</v>
      </c>
      <c r="U67" s="14" t="s">
        <v>573</v>
      </c>
      <c r="V67" s="14" t="s">
        <v>114</v>
      </c>
      <c r="W67" s="14" t="s">
        <v>85</v>
      </c>
      <c r="X67" s="14"/>
    </row>
    <row r="68" customFormat="false" ht="90" hidden="false" customHeight="true" outlineLevel="0" collapsed="false">
      <c r="A68" s="13" t="s">
        <v>574</v>
      </c>
      <c r="B68" s="14" t="s">
        <v>34</v>
      </c>
      <c r="C68" s="14" t="s">
        <v>24</v>
      </c>
      <c r="D68" s="14" t="s">
        <v>575</v>
      </c>
      <c r="E68" s="14" t="s">
        <v>576</v>
      </c>
      <c r="F68" s="14" t="s">
        <v>577</v>
      </c>
      <c r="G68" s="14" t="s">
        <v>77</v>
      </c>
      <c r="H68" s="15" t="n">
        <v>1</v>
      </c>
      <c r="I68" s="15" t="n">
        <v>600</v>
      </c>
      <c r="J68" s="15" t="n">
        <v>470</v>
      </c>
      <c r="K68" s="15" t="n">
        <v>2100</v>
      </c>
      <c r="L68" s="15" t="n">
        <v>1964</v>
      </c>
      <c r="M68" s="15" t="n">
        <v>465</v>
      </c>
      <c r="N68" s="15" t="n">
        <v>0</v>
      </c>
      <c r="O68" s="15" t="n">
        <v>0</v>
      </c>
      <c r="P68" s="14" t="s">
        <v>90</v>
      </c>
      <c r="Q68" s="15" t="s">
        <v>578</v>
      </c>
      <c r="R68" s="14"/>
      <c r="S68" s="14" t="s">
        <v>579</v>
      </c>
      <c r="T68" s="14" t="s">
        <v>580</v>
      </c>
      <c r="U68" s="14" t="s">
        <v>581</v>
      </c>
      <c r="V68" s="14" t="s">
        <v>84</v>
      </c>
      <c r="W68" s="14" t="s">
        <v>85</v>
      </c>
      <c r="X68" s="14"/>
    </row>
    <row r="69" customFormat="false" ht="90" hidden="false" customHeight="true" outlineLevel="0" collapsed="false">
      <c r="A69" s="13" t="s">
        <v>582</v>
      </c>
      <c r="B69" s="14" t="s">
        <v>34</v>
      </c>
      <c r="C69" s="14" t="s">
        <v>24</v>
      </c>
      <c r="D69" s="14" t="s">
        <v>583</v>
      </c>
      <c r="E69" s="14" t="s">
        <v>567</v>
      </c>
      <c r="F69" s="14" t="s">
        <v>568</v>
      </c>
      <c r="G69" s="14" t="s">
        <v>169</v>
      </c>
      <c r="H69" s="15" t="n">
        <v>1</v>
      </c>
      <c r="I69" s="15" t="n">
        <v>250</v>
      </c>
      <c r="J69" s="15" t="n">
        <v>250</v>
      </c>
      <c r="K69" s="15" t="n">
        <v>0</v>
      </c>
      <c r="L69" s="15" t="n">
        <v>530</v>
      </c>
      <c r="M69" s="15" t="n">
        <v>2600</v>
      </c>
      <c r="N69" s="15" t="s">
        <v>170</v>
      </c>
      <c r="O69" s="15" t="n">
        <v>0</v>
      </c>
      <c r="P69" s="14" t="s">
        <v>90</v>
      </c>
      <c r="Q69" s="15" t="s">
        <v>584</v>
      </c>
      <c r="R69" s="14"/>
      <c r="S69" s="14" t="s">
        <v>585</v>
      </c>
      <c r="T69" s="14" t="s">
        <v>572</v>
      </c>
      <c r="U69" s="14" t="s">
        <v>586</v>
      </c>
      <c r="V69" s="14" t="s">
        <v>84</v>
      </c>
      <c r="W69" s="14" t="s">
        <v>85</v>
      </c>
      <c r="X69" s="14"/>
    </row>
    <row r="70" customFormat="false" ht="90" hidden="false" customHeight="true" outlineLevel="0" collapsed="false">
      <c r="A70" s="13" t="s">
        <v>587</v>
      </c>
      <c r="B70" s="14" t="s">
        <v>34</v>
      </c>
      <c r="C70" s="14" t="s">
        <v>24</v>
      </c>
      <c r="D70" s="14" t="s">
        <v>588</v>
      </c>
      <c r="E70" s="14" t="s">
        <v>567</v>
      </c>
      <c r="F70" s="14" t="s">
        <v>568</v>
      </c>
      <c r="G70" s="14" t="s">
        <v>169</v>
      </c>
      <c r="H70" s="15" t="n">
        <v>1</v>
      </c>
      <c r="I70" s="15" t="n">
        <v>250</v>
      </c>
      <c r="J70" s="15" t="n">
        <v>250</v>
      </c>
      <c r="K70" s="15" t="n">
        <v>0</v>
      </c>
      <c r="L70" s="15" t="n">
        <v>530</v>
      </c>
      <c r="M70" s="15" t="n">
        <v>700</v>
      </c>
      <c r="N70" s="15" t="s">
        <v>170</v>
      </c>
      <c r="O70" s="15" t="n">
        <v>0</v>
      </c>
      <c r="P70" s="14" t="s">
        <v>90</v>
      </c>
      <c r="Q70" s="15" t="s">
        <v>589</v>
      </c>
      <c r="R70" s="14"/>
      <c r="S70" s="14" t="s">
        <v>590</v>
      </c>
      <c r="T70" s="14" t="s">
        <v>572</v>
      </c>
      <c r="U70" s="14" t="s">
        <v>591</v>
      </c>
      <c r="V70" s="14" t="s">
        <v>84</v>
      </c>
      <c r="W70" s="14" t="s">
        <v>85</v>
      </c>
      <c r="X70" s="14"/>
    </row>
    <row r="71" customFormat="false" ht="90" hidden="false" customHeight="true" outlineLevel="0" collapsed="false">
      <c r="A71" s="13" t="s">
        <v>592</v>
      </c>
      <c r="B71" s="14" t="s">
        <v>34</v>
      </c>
      <c r="C71" s="14" t="s">
        <v>24</v>
      </c>
      <c r="D71" s="14" t="s">
        <v>593</v>
      </c>
      <c r="E71" s="14" t="s">
        <v>567</v>
      </c>
      <c r="F71" s="14" t="s">
        <v>568</v>
      </c>
      <c r="G71" s="14" t="s">
        <v>169</v>
      </c>
      <c r="H71" s="15" t="n">
        <v>1</v>
      </c>
      <c r="I71" s="15" t="n">
        <v>250</v>
      </c>
      <c r="J71" s="15" t="n">
        <v>250</v>
      </c>
      <c r="K71" s="15" t="n">
        <v>0</v>
      </c>
      <c r="L71" s="15" t="n">
        <v>530</v>
      </c>
      <c r="M71" s="15" t="n">
        <v>3300</v>
      </c>
      <c r="N71" s="15" t="s">
        <v>170</v>
      </c>
      <c r="O71" s="15" t="n">
        <v>0</v>
      </c>
      <c r="P71" s="14" t="s">
        <v>90</v>
      </c>
      <c r="Q71" s="15" t="s">
        <v>594</v>
      </c>
      <c r="R71" s="14"/>
      <c r="S71" s="14" t="s">
        <v>595</v>
      </c>
      <c r="T71" s="14" t="s">
        <v>572</v>
      </c>
      <c r="U71" s="14" t="s">
        <v>596</v>
      </c>
      <c r="V71" s="14" t="s">
        <v>84</v>
      </c>
      <c r="W71" s="14" t="s">
        <v>85</v>
      </c>
      <c r="X71" s="14"/>
    </row>
    <row r="72" customFormat="false" ht="90" hidden="false" customHeight="true" outlineLevel="0" collapsed="false">
      <c r="A72" s="13" t="s">
        <v>597</v>
      </c>
      <c r="B72" s="14" t="s">
        <v>34</v>
      </c>
      <c r="C72" s="14" t="s">
        <v>24</v>
      </c>
      <c r="D72" s="14" t="s">
        <v>598</v>
      </c>
      <c r="E72" s="14" t="s">
        <v>138</v>
      </c>
      <c r="F72" s="14" t="s">
        <v>139</v>
      </c>
      <c r="G72" s="14" t="s">
        <v>77</v>
      </c>
      <c r="H72" s="15" t="n">
        <v>1</v>
      </c>
      <c r="I72" s="15" t="n">
        <v>400</v>
      </c>
      <c r="J72" s="15" t="n">
        <v>400</v>
      </c>
      <c r="K72" s="15" t="n">
        <v>420</v>
      </c>
      <c r="L72" s="15" t="n">
        <v>1247</v>
      </c>
      <c r="M72" s="15" t="n">
        <v>950</v>
      </c>
      <c r="N72" s="15" t="n">
        <v>0</v>
      </c>
      <c r="O72" s="15" t="n">
        <v>0</v>
      </c>
      <c r="P72" s="14" t="s">
        <v>90</v>
      </c>
      <c r="Q72" s="15" t="s">
        <v>140</v>
      </c>
      <c r="R72" s="14" t="s">
        <v>80</v>
      </c>
      <c r="S72" s="14" t="s">
        <v>599</v>
      </c>
      <c r="T72" s="14" t="s">
        <v>600</v>
      </c>
      <c r="U72" s="14" t="s">
        <v>601</v>
      </c>
      <c r="V72" s="14" t="s">
        <v>84</v>
      </c>
      <c r="W72" s="14" t="s">
        <v>85</v>
      </c>
      <c r="X72" s="14"/>
    </row>
    <row r="73" customFormat="false" ht="90" hidden="false" customHeight="true" outlineLevel="0" collapsed="false">
      <c r="A73" s="13" t="s">
        <v>602</v>
      </c>
      <c r="B73" s="14" t="s">
        <v>34</v>
      </c>
      <c r="C73" s="14" t="s">
        <v>25</v>
      </c>
      <c r="D73" s="14" t="s">
        <v>603</v>
      </c>
      <c r="E73" s="14" t="s">
        <v>481</v>
      </c>
      <c r="F73" s="14" t="s">
        <v>482</v>
      </c>
      <c r="G73" s="14" t="s">
        <v>158</v>
      </c>
      <c r="H73" s="15" t="n">
        <v>1</v>
      </c>
      <c r="I73" s="15" t="n">
        <v>600</v>
      </c>
      <c r="J73" s="15" t="n">
        <v>40</v>
      </c>
      <c r="K73" s="15" t="n">
        <v>900</v>
      </c>
      <c r="L73" s="15" t="n">
        <v>1250</v>
      </c>
      <c r="M73" s="15" t="n">
        <v>250</v>
      </c>
      <c r="N73" s="15" t="n">
        <v>1050</v>
      </c>
      <c r="O73" s="15" t="n">
        <v>0</v>
      </c>
      <c r="P73" s="14" t="s">
        <v>183</v>
      </c>
      <c r="Q73" s="15" t="s">
        <v>604</v>
      </c>
      <c r="R73" s="14" t="s">
        <v>441</v>
      </c>
      <c r="S73" s="14" t="s">
        <v>605</v>
      </c>
      <c r="T73" s="14" t="s">
        <v>606</v>
      </c>
      <c r="U73" s="14" t="s">
        <v>607</v>
      </c>
      <c r="V73" s="14" t="s">
        <v>84</v>
      </c>
      <c r="W73" s="14" t="s">
        <v>164</v>
      </c>
      <c r="X73" s="14"/>
    </row>
    <row r="74" customFormat="false" ht="90" hidden="false" customHeight="true" outlineLevel="0" collapsed="false">
      <c r="A74" s="13" t="s">
        <v>608</v>
      </c>
      <c r="B74" s="14" t="s">
        <v>34</v>
      </c>
      <c r="C74" s="14" t="s">
        <v>25</v>
      </c>
      <c r="D74" s="14" t="s">
        <v>609</v>
      </c>
      <c r="E74" s="14" t="s">
        <v>167</v>
      </c>
      <c r="F74" s="14" t="s">
        <v>168</v>
      </c>
      <c r="G74" s="14" t="s">
        <v>169</v>
      </c>
      <c r="H74" s="15" t="n">
        <v>1</v>
      </c>
      <c r="I74" s="15" t="n">
        <v>250</v>
      </c>
      <c r="J74" s="15" t="n">
        <v>250</v>
      </c>
      <c r="K74" s="15" t="n">
        <v>150</v>
      </c>
      <c r="L74" s="15" t="n">
        <v>1964</v>
      </c>
      <c r="M74" s="15" t="n">
        <v>1150</v>
      </c>
      <c r="N74" s="15" t="s">
        <v>170</v>
      </c>
      <c r="O74" s="15" t="n">
        <v>0</v>
      </c>
      <c r="P74" s="14" t="s">
        <v>90</v>
      </c>
      <c r="Q74" s="15" t="s">
        <v>440</v>
      </c>
      <c r="R74" s="14" t="s">
        <v>122</v>
      </c>
      <c r="S74" s="14" t="s">
        <v>610</v>
      </c>
      <c r="T74" s="14" t="s">
        <v>174</v>
      </c>
      <c r="U74" s="14" t="s">
        <v>611</v>
      </c>
      <c r="V74" s="14" t="s">
        <v>84</v>
      </c>
      <c r="W74" s="14" t="s">
        <v>164</v>
      </c>
      <c r="X74" s="14"/>
    </row>
    <row r="75" customFormat="false" ht="90" hidden="false" customHeight="true" outlineLevel="0" collapsed="false">
      <c r="A75" s="13" t="s">
        <v>612</v>
      </c>
      <c r="B75" s="14" t="s">
        <v>34</v>
      </c>
      <c r="C75" s="14" t="s">
        <v>25</v>
      </c>
      <c r="D75" s="14" t="s">
        <v>613</v>
      </c>
      <c r="E75" s="14" t="s">
        <v>167</v>
      </c>
      <c r="F75" s="14" t="s">
        <v>168</v>
      </c>
      <c r="G75" s="14" t="s">
        <v>169</v>
      </c>
      <c r="H75" s="15" t="n">
        <v>1</v>
      </c>
      <c r="I75" s="15" t="n">
        <v>250</v>
      </c>
      <c r="J75" s="15" t="n">
        <v>250</v>
      </c>
      <c r="K75" s="15" t="n">
        <v>150</v>
      </c>
      <c r="L75" s="15" t="n">
        <v>1100</v>
      </c>
      <c r="M75" s="15" t="n">
        <v>3300</v>
      </c>
      <c r="N75" s="15" t="s">
        <v>170</v>
      </c>
      <c r="O75" s="15" t="n">
        <v>0</v>
      </c>
      <c r="P75" s="14" t="s">
        <v>90</v>
      </c>
      <c r="Q75" s="15" t="s">
        <v>614</v>
      </c>
      <c r="R75" s="14" t="s">
        <v>196</v>
      </c>
      <c r="S75" s="14" t="s">
        <v>615</v>
      </c>
      <c r="T75" s="14" t="s">
        <v>174</v>
      </c>
      <c r="U75" s="14" t="s">
        <v>616</v>
      </c>
      <c r="V75" s="14" t="s">
        <v>84</v>
      </c>
      <c r="W75" s="14" t="s">
        <v>164</v>
      </c>
      <c r="X75" s="14"/>
    </row>
    <row r="76" customFormat="false" ht="90" hidden="false" customHeight="true" outlineLevel="0" collapsed="false">
      <c r="A76" s="13" t="s">
        <v>617</v>
      </c>
      <c r="B76" s="14" t="s">
        <v>34</v>
      </c>
      <c r="C76" s="14" t="s">
        <v>25</v>
      </c>
      <c r="D76" s="14" t="s">
        <v>618</v>
      </c>
      <c r="E76" s="14" t="s">
        <v>167</v>
      </c>
      <c r="F76" s="14" t="s">
        <v>168</v>
      </c>
      <c r="G76" s="14" t="s">
        <v>169</v>
      </c>
      <c r="H76" s="15" t="n">
        <v>1</v>
      </c>
      <c r="I76" s="15" t="n">
        <v>250</v>
      </c>
      <c r="J76" s="15" t="n">
        <v>250</v>
      </c>
      <c r="K76" s="15" t="n">
        <v>150</v>
      </c>
      <c r="L76" s="15" t="n">
        <v>2100</v>
      </c>
      <c r="M76" s="15" t="n">
        <v>900</v>
      </c>
      <c r="N76" s="15" t="s">
        <v>170</v>
      </c>
      <c r="O76" s="15" t="n">
        <v>0</v>
      </c>
      <c r="P76" s="14" t="s">
        <v>90</v>
      </c>
      <c r="Q76" s="15" t="s">
        <v>619</v>
      </c>
      <c r="R76" s="14"/>
      <c r="S76" s="14" t="s">
        <v>620</v>
      </c>
      <c r="T76" s="14" t="s">
        <v>174</v>
      </c>
      <c r="U76" s="14" t="s">
        <v>621</v>
      </c>
      <c r="V76" s="14" t="s">
        <v>84</v>
      </c>
      <c r="W76" s="14" t="s">
        <v>164</v>
      </c>
      <c r="X76" s="14"/>
    </row>
    <row r="77" customFormat="false" ht="90" hidden="false" customHeight="true" outlineLevel="0" collapsed="false">
      <c r="A77" s="13" t="s">
        <v>622</v>
      </c>
      <c r="B77" s="14" t="s">
        <v>34</v>
      </c>
      <c r="C77" s="14" t="s">
        <v>25</v>
      </c>
      <c r="D77" s="14" t="s">
        <v>623</v>
      </c>
      <c r="E77" s="14" t="s">
        <v>156</v>
      </c>
      <c r="F77" s="14" t="s">
        <v>157</v>
      </c>
      <c r="G77" s="14" t="s">
        <v>158</v>
      </c>
      <c r="H77" s="15" t="n">
        <v>1</v>
      </c>
      <c r="I77" s="15" t="n">
        <v>450</v>
      </c>
      <c r="J77" s="15" t="n">
        <v>40</v>
      </c>
      <c r="K77" s="15" t="n">
        <v>600</v>
      </c>
      <c r="L77" s="15" t="n">
        <v>1125</v>
      </c>
      <c r="M77" s="15" t="n">
        <v>3667</v>
      </c>
      <c r="N77" s="15" t="n">
        <v>1200</v>
      </c>
      <c r="O77" s="15" t="n">
        <v>180</v>
      </c>
      <c r="P77" s="14" t="s">
        <v>159</v>
      </c>
      <c r="Q77" s="15" t="s">
        <v>160</v>
      </c>
      <c r="R77" s="14"/>
      <c r="S77" s="14" t="s">
        <v>624</v>
      </c>
      <c r="T77" s="14" t="s">
        <v>625</v>
      </c>
      <c r="U77" s="14" t="s">
        <v>626</v>
      </c>
      <c r="V77" s="14" t="s">
        <v>84</v>
      </c>
      <c r="W77" s="14" t="s">
        <v>164</v>
      </c>
      <c r="X77" s="14"/>
    </row>
    <row r="78" customFormat="false" ht="90" hidden="false" customHeight="true" outlineLevel="0" collapsed="false">
      <c r="A78" s="13" t="s">
        <v>627</v>
      </c>
      <c r="B78" s="14" t="s">
        <v>34</v>
      </c>
      <c r="C78" s="14" t="s">
        <v>26</v>
      </c>
      <c r="D78" s="14" t="s">
        <v>628</v>
      </c>
      <c r="E78" s="14" t="s">
        <v>629</v>
      </c>
      <c r="F78" s="14" t="s">
        <v>630</v>
      </c>
      <c r="G78" s="14" t="s">
        <v>218</v>
      </c>
      <c r="H78" s="15" t="n">
        <v>1</v>
      </c>
      <c r="I78" s="15" t="n">
        <v>3457</v>
      </c>
      <c r="J78" s="15" t="n">
        <v>2034</v>
      </c>
      <c r="K78" s="15" t="n">
        <v>0</v>
      </c>
      <c r="L78" s="15" t="n">
        <v>1247</v>
      </c>
      <c r="M78" s="15" t="n">
        <v>1958</v>
      </c>
      <c r="N78" s="15" t="n">
        <v>0</v>
      </c>
      <c r="O78" s="15" t="n">
        <v>0</v>
      </c>
      <c r="P78" s="14" t="s">
        <v>90</v>
      </c>
      <c r="Q78" s="15" t="s">
        <v>631</v>
      </c>
      <c r="R78" s="14" t="s">
        <v>184</v>
      </c>
      <c r="S78" s="14" t="s">
        <v>632</v>
      </c>
      <c r="T78" s="14" t="s">
        <v>633</v>
      </c>
      <c r="U78" s="14" t="s">
        <v>634</v>
      </c>
      <c r="V78" s="14" t="s">
        <v>84</v>
      </c>
      <c r="W78" s="14" t="s">
        <v>213</v>
      </c>
      <c r="X78" s="14"/>
    </row>
    <row r="79" customFormat="false" ht="90" hidden="false" customHeight="true" outlineLevel="0" collapsed="false">
      <c r="A79" s="13" t="s">
        <v>635</v>
      </c>
      <c r="B79" s="14" t="s">
        <v>34</v>
      </c>
      <c r="C79" s="14" t="s">
        <v>26</v>
      </c>
      <c r="D79" s="14" t="s">
        <v>636</v>
      </c>
      <c r="E79" s="14" t="s">
        <v>567</v>
      </c>
      <c r="F79" s="14" t="s">
        <v>568</v>
      </c>
      <c r="G79" s="14" t="s">
        <v>169</v>
      </c>
      <c r="H79" s="15" t="n">
        <v>1</v>
      </c>
      <c r="I79" s="15" t="n">
        <v>250</v>
      </c>
      <c r="J79" s="15" t="n">
        <v>250</v>
      </c>
      <c r="K79" s="15" t="n">
        <v>0</v>
      </c>
      <c r="L79" s="15" t="n">
        <v>830</v>
      </c>
      <c r="M79" s="15" t="n">
        <v>1800</v>
      </c>
      <c r="N79" s="15" t="s">
        <v>170</v>
      </c>
      <c r="O79" s="15" t="n">
        <v>0</v>
      </c>
      <c r="P79" s="14" t="s">
        <v>90</v>
      </c>
      <c r="Q79" s="15" t="s">
        <v>637</v>
      </c>
      <c r="R79" s="14" t="s">
        <v>638</v>
      </c>
      <c r="S79" s="14" t="s">
        <v>639</v>
      </c>
      <c r="T79" s="14" t="s">
        <v>572</v>
      </c>
      <c r="U79" s="14" t="s">
        <v>640</v>
      </c>
      <c r="V79" s="14" t="s">
        <v>84</v>
      </c>
      <c r="W79" s="14" t="s">
        <v>213</v>
      </c>
      <c r="X79" s="14"/>
    </row>
    <row r="80" customFormat="false" ht="90" hidden="false" customHeight="true" outlineLevel="0" collapsed="false">
      <c r="A80" s="13" t="s">
        <v>641</v>
      </c>
      <c r="B80" s="14" t="s">
        <v>34</v>
      </c>
      <c r="C80" s="14" t="s">
        <v>26</v>
      </c>
      <c r="D80" s="14" t="s">
        <v>642</v>
      </c>
      <c r="E80" s="14" t="s">
        <v>567</v>
      </c>
      <c r="F80" s="14" t="s">
        <v>568</v>
      </c>
      <c r="G80" s="14" t="s">
        <v>169</v>
      </c>
      <c r="H80" s="15" t="n">
        <v>1</v>
      </c>
      <c r="I80" s="15" t="n">
        <v>250</v>
      </c>
      <c r="J80" s="15" t="n">
        <v>250</v>
      </c>
      <c r="K80" s="15" t="n">
        <v>0</v>
      </c>
      <c r="L80" s="15" t="n">
        <v>1964</v>
      </c>
      <c r="M80" s="15" t="n">
        <v>800</v>
      </c>
      <c r="N80" s="15" t="s">
        <v>170</v>
      </c>
      <c r="O80" s="15" t="n">
        <v>0</v>
      </c>
      <c r="P80" s="14" t="s">
        <v>90</v>
      </c>
      <c r="Q80" s="15" t="s">
        <v>643</v>
      </c>
      <c r="R80" s="14"/>
      <c r="S80" s="14" t="s">
        <v>644</v>
      </c>
      <c r="T80" s="14" t="s">
        <v>572</v>
      </c>
      <c r="U80" s="14" t="s">
        <v>645</v>
      </c>
      <c r="V80" s="14" t="s">
        <v>84</v>
      </c>
      <c r="W80" s="14" t="s">
        <v>213</v>
      </c>
      <c r="X80" s="14"/>
    </row>
    <row r="81" customFormat="false" ht="90" hidden="false" customHeight="true" outlineLevel="0" collapsed="false">
      <c r="A81" s="13" t="s">
        <v>646</v>
      </c>
      <c r="B81" s="14" t="s">
        <v>34</v>
      </c>
      <c r="C81" s="14" t="s">
        <v>26</v>
      </c>
      <c r="D81" s="14" t="s">
        <v>647</v>
      </c>
      <c r="E81" s="14" t="s">
        <v>216</v>
      </c>
      <c r="F81" s="14" t="s">
        <v>217</v>
      </c>
      <c r="G81" s="14" t="s">
        <v>218</v>
      </c>
      <c r="H81" s="15" t="n">
        <v>1</v>
      </c>
      <c r="I81" s="15" t="n">
        <v>3457</v>
      </c>
      <c r="J81" s="15" t="n">
        <v>2034</v>
      </c>
      <c r="K81" s="15" t="n">
        <v>15</v>
      </c>
      <c r="L81" s="15" t="n">
        <v>1247</v>
      </c>
      <c r="M81" s="15" t="n">
        <v>1958</v>
      </c>
      <c r="N81" s="15" t="n">
        <v>0</v>
      </c>
      <c r="O81" s="15" t="n">
        <v>0</v>
      </c>
      <c r="P81" s="14" t="s">
        <v>90</v>
      </c>
      <c r="Q81" s="15" t="s">
        <v>648</v>
      </c>
      <c r="R81" s="14" t="s">
        <v>490</v>
      </c>
      <c r="S81" s="14" t="s">
        <v>649</v>
      </c>
      <c r="T81" s="14" t="s">
        <v>650</v>
      </c>
      <c r="U81" s="14" t="s">
        <v>651</v>
      </c>
      <c r="V81" s="14" t="s">
        <v>84</v>
      </c>
      <c r="W81" s="14" t="s">
        <v>213</v>
      </c>
      <c r="X81" s="14"/>
    </row>
    <row r="82" customFormat="false" ht="90" hidden="false" customHeight="true" outlineLevel="0" collapsed="false">
      <c r="A82" s="13" t="s">
        <v>652</v>
      </c>
      <c r="B82" s="14" t="s">
        <v>34</v>
      </c>
      <c r="C82" s="14" t="s">
        <v>27</v>
      </c>
      <c r="D82" s="14" t="s">
        <v>653</v>
      </c>
      <c r="E82" s="14" t="s">
        <v>359</v>
      </c>
      <c r="F82" s="14" t="s">
        <v>360</v>
      </c>
      <c r="G82" s="14" t="s">
        <v>169</v>
      </c>
      <c r="H82" s="15" t="n">
        <v>1</v>
      </c>
      <c r="I82" s="15" t="n">
        <v>3200</v>
      </c>
      <c r="J82" s="15" t="n">
        <v>40</v>
      </c>
      <c r="K82" s="15" t="n">
        <v>10</v>
      </c>
      <c r="L82" s="15" t="n">
        <v>835</v>
      </c>
      <c r="M82" s="15" t="n">
        <v>2000</v>
      </c>
      <c r="N82" s="15" t="s">
        <v>170</v>
      </c>
      <c r="O82" s="15" t="n">
        <v>0</v>
      </c>
      <c r="P82" s="14" t="s">
        <v>90</v>
      </c>
      <c r="Q82" s="15" t="s">
        <v>361</v>
      </c>
      <c r="R82" s="14"/>
      <c r="S82" s="14" t="s">
        <v>654</v>
      </c>
      <c r="T82" s="14" t="s">
        <v>655</v>
      </c>
      <c r="U82" s="14" t="s">
        <v>656</v>
      </c>
      <c r="V82" s="14" t="s">
        <v>84</v>
      </c>
      <c r="W82" s="14" t="s">
        <v>266</v>
      </c>
      <c r="X82" s="14"/>
    </row>
    <row r="83" customFormat="false" ht="90" hidden="false" customHeight="true" outlineLevel="0" collapsed="false">
      <c r="A83" s="13" t="s">
        <v>657</v>
      </c>
      <c r="B83" s="14" t="s">
        <v>34</v>
      </c>
      <c r="C83" s="14" t="s">
        <v>27</v>
      </c>
      <c r="D83" s="14" t="s">
        <v>658</v>
      </c>
      <c r="E83" s="14" t="s">
        <v>496</v>
      </c>
      <c r="F83" s="14" t="s">
        <v>497</v>
      </c>
      <c r="G83" s="14" t="s">
        <v>245</v>
      </c>
      <c r="H83" s="15" t="n">
        <v>1</v>
      </c>
      <c r="I83" s="15" t="n">
        <v>2400</v>
      </c>
      <c r="J83" s="15" t="n">
        <v>40</v>
      </c>
      <c r="K83" s="15" t="n">
        <v>40</v>
      </c>
      <c r="L83" s="15" t="n">
        <v>1247</v>
      </c>
      <c r="M83" s="15" t="n">
        <v>2300</v>
      </c>
      <c r="N83" s="15" t="n">
        <v>2750</v>
      </c>
      <c r="O83" s="15" t="n">
        <v>0</v>
      </c>
      <c r="P83" s="14" t="s">
        <v>90</v>
      </c>
      <c r="Q83" s="15" t="s">
        <v>498</v>
      </c>
      <c r="R83" s="14" t="s">
        <v>196</v>
      </c>
      <c r="S83" s="14" t="s">
        <v>659</v>
      </c>
      <c r="T83" s="14" t="s">
        <v>660</v>
      </c>
      <c r="U83" s="14" t="s">
        <v>661</v>
      </c>
      <c r="V83" s="14" t="s">
        <v>84</v>
      </c>
      <c r="W83" s="14" t="s">
        <v>266</v>
      </c>
      <c r="X83" s="14"/>
    </row>
    <row r="84" customFormat="false" ht="90" hidden="false" customHeight="true" outlineLevel="0" collapsed="false">
      <c r="A84" s="13" t="s">
        <v>662</v>
      </c>
      <c r="B84" s="14" t="s">
        <v>34</v>
      </c>
      <c r="C84" s="14" t="s">
        <v>27</v>
      </c>
      <c r="D84" s="14" t="s">
        <v>663</v>
      </c>
      <c r="E84" s="14" t="s">
        <v>285</v>
      </c>
      <c r="F84" s="14" t="s">
        <v>286</v>
      </c>
      <c r="G84" s="14" t="s">
        <v>245</v>
      </c>
      <c r="H84" s="15" t="n">
        <v>1</v>
      </c>
      <c r="I84" s="15" t="n">
        <v>160</v>
      </c>
      <c r="J84" s="15" t="n">
        <v>160</v>
      </c>
      <c r="K84" s="15" t="n">
        <v>80</v>
      </c>
      <c r="L84" s="15" t="n">
        <v>1250</v>
      </c>
      <c r="M84" s="15" t="n">
        <v>340</v>
      </c>
      <c r="N84" s="15" t="n">
        <v>2750</v>
      </c>
      <c r="O84" s="15" t="n">
        <v>0</v>
      </c>
      <c r="P84" s="14" t="s">
        <v>90</v>
      </c>
      <c r="Q84" s="15" t="s">
        <v>664</v>
      </c>
      <c r="R84" s="14" t="s">
        <v>196</v>
      </c>
      <c r="S84" s="14" t="s">
        <v>665</v>
      </c>
      <c r="T84" s="14" t="s">
        <v>666</v>
      </c>
      <c r="U84" s="14" t="s">
        <v>667</v>
      </c>
      <c r="V84" s="14" t="s">
        <v>84</v>
      </c>
      <c r="W84" s="14" t="s">
        <v>266</v>
      </c>
      <c r="X84" s="14"/>
    </row>
    <row r="85" customFormat="false" ht="90" hidden="false" customHeight="true" outlineLevel="0" collapsed="false">
      <c r="A85" s="13" t="s">
        <v>668</v>
      </c>
      <c r="B85" s="14" t="s">
        <v>34</v>
      </c>
      <c r="C85" s="14" t="s">
        <v>27</v>
      </c>
      <c r="D85" s="14" t="s">
        <v>669</v>
      </c>
      <c r="E85" s="14" t="s">
        <v>293</v>
      </c>
      <c r="F85" s="14" t="s">
        <v>294</v>
      </c>
      <c r="G85" s="14" t="s">
        <v>77</v>
      </c>
      <c r="H85" s="15" t="n">
        <v>1</v>
      </c>
      <c r="I85" s="15" t="n">
        <v>2400</v>
      </c>
      <c r="J85" s="15" t="n">
        <v>600</v>
      </c>
      <c r="K85" s="15" t="n">
        <v>12</v>
      </c>
      <c r="L85" s="15" t="n">
        <v>1250</v>
      </c>
      <c r="M85" s="15" t="n">
        <v>2350</v>
      </c>
      <c r="N85" s="15" t="n">
        <v>0</v>
      </c>
      <c r="O85" s="15" t="n">
        <v>0</v>
      </c>
      <c r="P85" s="14" t="s">
        <v>90</v>
      </c>
      <c r="Q85" s="15" t="s">
        <v>538</v>
      </c>
      <c r="R85" s="14" t="s">
        <v>296</v>
      </c>
      <c r="S85" s="14" t="s">
        <v>670</v>
      </c>
      <c r="T85" s="14" t="s">
        <v>671</v>
      </c>
      <c r="U85" s="14" t="s">
        <v>672</v>
      </c>
      <c r="V85" s="14" t="s">
        <v>84</v>
      </c>
      <c r="W85" s="14" t="s">
        <v>266</v>
      </c>
      <c r="X85" s="14"/>
    </row>
    <row r="86" customFormat="false" ht="90" hidden="false" customHeight="true" outlineLevel="0" collapsed="false">
      <c r="A86" s="13" t="s">
        <v>673</v>
      </c>
      <c r="B86" s="14" t="s">
        <v>35</v>
      </c>
      <c r="C86" s="14" t="s">
        <v>24</v>
      </c>
      <c r="D86" s="14" t="s">
        <v>674</v>
      </c>
      <c r="E86" s="14" t="s">
        <v>675</v>
      </c>
      <c r="F86" s="14" t="s">
        <v>676</v>
      </c>
      <c r="G86" s="14" t="s">
        <v>158</v>
      </c>
      <c r="H86" s="15" t="n">
        <v>1</v>
      </c>
      <c r="I86" s="15" t="n">
        <v>1500</v>
      </c>
      <c r="J86" s="15" t="n">
        <v>545</v>
      </c>
      <c r="K86" s="15" t="n">
        <v>850</v>
      </c>
      <c r="L86" s="15" t="n">
        <v>3722</v>
      </c>
      <c r="M86" s="15" t="n">
        <v>1800</v>
      </c>
      <c r="N86" s="15" t="n">
        <v>0</v>
      </c>
      <c r="O86" s="15" t="n">
        <v>90</v>
      </c>
      <c r="P86" s="14" t="s">
        <v>90</v>
      </c>
      <c r="Q86" s="15" t="s">
        <v>677</v>
      </c>
      <c r="R86" s="14" t="s">
        <v>678</v>
      </c>
      <c r="S86" s="14" t="s">
        <v>679</v>
      </c>
      <c r="T86" s="14" t="s">
        <v>680</v>
      </c>
      <c r="U86" s="14" t="s">
        <v>681</v>
      </c>
      <c r="V86" s="14" t="s">
        <v>84</v>
      </c>
      <c r="W86" s="14" t="s">
        <v>85</v>
      </c>
      <c r="X86" s="14"/>
    </row>
    <row r="87" customFormat="false" ht="90" hidden="false" customHeight="true" outlineLevel="0" collapsed="false">
      <c r="A87" s="13" t="s">
        <v>682</v>
      </c>
      <c r="B87" s="14" t="s">
        <v>35</v>
      </c>
      <c r="C87" s="14" t="s">
        <v>24</v>
      </c>
      <c r="D87" s="14" t="s">
        <v>683</v>
      </c>
      <c r="E87" s="14" t="s">
        <v>684</v>
      </c>
      <c r="F87" s="14" t="s">
        <v>685</v>
      </c>
      <c r="G87" s="14" t="s">
        <v>158</v>
      </c>
      <c r="H87" s="15" t="n">
        <v>1</v>
      </c>
      <c r="I87" s="15" t="n">
        <v>495</v>
      </c>
      <c r="J87" s="15" t="n">
        <v>380</v>
      </c>
      <c r="K87" s="15" t="n">
        <v>400</v>
      </c>
      <c r="L87" s="15" t="n">
        <v>3200</v>
      </c>
      <c r="M87" s="15" t="n">
        <v>522</v>
      </c>
      <c r="N87" s="15" t="n">
        <v>0</v>
      </c>
      <c r="O87" s="15" t="n">
        <v>90</v>
      </c>
      <c r="P87" s="14" t="s">
        <v>90</v>
      </c>
      <c r="Q87" s="15" t="s">
        <v>686</v>
      </c>
      <c r="R87" s="14" t="s">
        <v>687</v>
      </c>
      <c r="S87" s="14" t="s">
        <v>688</v>
      </c>
      <c r="T87" s="14" t="s">
        <v>689</v>
      </c>
      <c r="U87" s="14" t="s">
        <v>690</v>
      </c>
      <c r="V87" s="14" t="s">
        <v>84</v>
      </c>
      <c r="W87" s="14" t="s">
        <v>85</v>
      </c>
      <c r="X87" s="14"/>
    </row>
    <row r="88" customFormat="false" ht="90" hidden="false" customHeight="true" outlineLevel="0" collapsed="false">
      <c r="A88" s="13" t="s">
        <v>691</v>
      </c>
      <c r="B88" s="14" t="s">
        <v>35</v>
      </c>
      <c r="C88" s="14" t="s">
        <v>24</v>
      </c>
      <c r="D88" s="14" t="s">
        <v>692</v>
      </c>
      <c r="E88" s="14" t="s">
        <v>693</v>
      </c>
      <c r="F88" s="14" t="s">
        <v>694</v>
      </c>
      <c r="G88" s="14" t="s">
        <v>77</v>
      </c>
      <c r="H88" s="15" t="n">
        <v>1</v>
      </c>
      <c r="I88" s="15" t="n">
        <v>1595</v>
      </c>
      <c r="J88" s="15" t="n">
        <v>953</v>
      </c>
      <c r="K88" s="15" t="n">
        <v>2100</v>
      </c>
      <c r="L88" s="15" t="n">
        <v>3198</v>
      </c>
      <c r="M88" s="15" t="n">
        <v>3164</v>
      </c>
      <c r="N88" s="15" t="n">
        <v>0</v>
      </c>
      <c r="O88" s="15" t="n">
        <v>0</v>
      </c>
      <c r="P88" s="14" t="s">
        <v>90</v>
      </c>
      <c r="Q88" s="15" t="s">
        <v>695</v>
      </c>
      <c r="R88" s="14" t="s">
        <v>696</v>
      </c>
      <c r="S88" s="14" t="s">
        <v>697</v>
      </c>
      <c r="T88" s="14" t="s">
        <v>698</v>
      </c>
      <c r="U88" s="14" t="s">
        <v>699</v>
      </c>
      <c r="V88" s="14" t="s">
        <v>114</v>
      </c>
      <c r="W88" s="14" t="s">
        <v>85</v>
      </c>
      <c r="X88" s="14"/>
    </row>
    <row r="89" customFormat="false" ht="90" hidden="false" customHeight="true" outlineLevel="0" collapsed="false">
      <c r="A89" s="13" t="s">
        <v>700</v>
      </c>
      <c r="B89" s="14" t="s">
        <v>35</v>
      </c>
      <c r="C89" s="14" t="s">
        <v>24</v>
      </c>
      <c r="D89" s="14" t="s">
        <v>701</v>
      </c>
      <c r="E89" s="14" t="s">
        <v>702</v>
      </c>
      <c r="F89" s="14" t="s">
        <v>703</v>
      </c>
      <c r="G89" s="14" t="s">
        <v>77</v>
      </c>
      <c r="H89" s="15" t="n">
        <v>1</v>
      </c>
      <c r="I89" s="15" t="n">
        <v>980</v>
      </c>
      <c r="J89" s="15" t="n">
        <v>340</v>
      </c>
      <c r="K89" s="15" t="n">
        <v>450</v>
      </c>
      <c r="L89" s="15" t="n">
        <v>2910</v>
      </c>
      <c r="M89" s="15" t="n">
        <v>3460</v>
      </c>
      <c r="N89" s="15" t="n">
        <v>0</v>
      </c>
      <c r="O89" s="15" t="n">
        <v>0</v>
      </c>
      <c r="P89" s="14" t="s">
        <v>90</v>
      </c>
      <c r="Q89" s="15" t="s">
        <v>704</v>
      </c>
      <c r="R89" s="14" t="s">
        <v>705</v>
      </c>
      <c r="S89" s="14" t="s">
        <v>706</v>
      </c>
      <c r="T89" s="14" t="s">
        <v>707</v>
      </c>
      <c r="U89" s="14" t="s">
        <v>708</v>
      </c>
      <c r="V89" s="14" t="s">
        <v>84</v>
      </c>
      <c r="W89" s="14" t="s">
        <v>85</v>
      </c>
      <c r="X89" s="14"/>
    </row>
    <row r="90" customFormat="false" ht="90" hidden="false" customHeight="true" outlineLevel="0" collapsed="false">
      <c r="A90" s="13" t="s">
        <v>709</v>
      </c>
      <c r="B90" s="14" t="s">
        <v>35</v>
      </c>
      <c r="C90" s="14" t="s">
        <v>24</v>
      </c>
      <c r="D90" s="14" t="s">
        <v>710</v>
      </c>
      <c r="E90" s="14" t="s">
        <v>711</v>
      </c>
      <c r="F90" s="14" t="s">
        <v>712</v>
      </c>
      <c r="G90" s="14" t="s">
        <v>77</v>
      </c>
      <c r="H90" s="15" t="n">
        <v>1</v>
      </c>
      <c r="I90" s="15" t="n">
        <v>395</v>
      </c>
      <c r="J90" s="15" t="n">
        <v>355</v>
      </c>
      <c r="K90" s="15" t="n">
        <v>2100</v>
      </c>
      <c r="L90" s="15" t="n">
        <v>3798</v>
      </c>
      <c r="M90" s="15" t="n">
        <v>452</v>
      </c>
      <c r="N90" s="15" t="n">
        <v>0</v>
      </c>
      <c r="O90" s="15" t="n">
        <v>0</v>
      </c>
      <c r="P90" s="14" t="s">
        <v>90</v>
      </c>
      <c r="Q90" s="15" t="s">
        <v>713</v>
      </c>
      <c r="R90" s="14" t="s">
        <v>714</v>
      </c>
      <c r="S90" s="14" t="s">
        <v>715</v>
      </c>
      <c r="T90" s="14" t="s">
        <v>716</v>
      </c>
      <c r="U90" s="14" t="s">
        <v>717</v>
      </c>
      <c r="V90" s="14" t="s">
        <v>84</v>
      </c>
      <c r="W90" s="14" t="s">
        <v>85</v>
      </c>
      <c r="X90" s="14"/>
    </row>
    <row r="91" customFormat="false" ht="90" hidden="false" customHeight="true" outlineLevel="0" collapsed="false">
      <c r="A91" s="13" t="s">
        <v>718</v>
      </c>
      <c r="B91" s="14" t="s">
        <v>35</v>
      </c>
      <c r="C91" s="14" t="s">
        <v>24</v>
      </c>
      <c r="D91" s="14" t="s">
        <v>719</v>
      </c>
      <c r="E91" s="14" t="s">
        <v>720</v>
      </c>
      <c r="F91" s="14" t="s">
        <v>721</v>
      </c>
      <c r="G91" s="14" t="s">
        <v>158</v>
      </c>
      <c r="H91" s="15" t="n">
        <v>1</v>
      </c>
      <c r="I91" s="15" t="n">
        <v>550</v>
      </c>
      <c r="J91" s="15" t="n">
        <v>40</v>
      </c>
      <c r="K91" s="15" t="n">
        <v>700</v>
      </c>
      <c r="L91" s="15" t="n">
        <v>3975</v>
      </c>
      <c r="M91" s="15" t="n">
        <v>1375</v>
      </c>
      <c r="N91" s="15" t="n">
        <v>0</v>
      </c>
      <c r="O91" s="15" t="n">
        <v>90</v>
      </c>
      <c r="P91" s="14" t="s">
        <v>78</v>
      </c>
      <c r="Q91" s="15" t="s">
        <v>722</v>
      </c>
      <c r="R91" s="14"/>
      <c r="S91" s="14" t="s">
        <v>723</v>
      </c>
      <c r="T91" s="14" t="s">
        <v>724</v>
      </c>
      <c r="U91" s="14" t="s">
        <v>725</v>
      </c>
      <c r="V91" s="14" t="s">
        <v>84</v>
      </c>
      <c r="W91" s="14" t="s">
        <v>85</v>
      </c>
      <c r="X91" s="14"/>
    </row>
    <row r="92" customFormat="false" ht="90" hidden="false" customHeight="true" outlineLevel="0" collapsed="false">
      <c r="A92" s="13" t="s">
        <v>726</v>
      </c>
      <c r="B92" s="14" t="s">
        <v>35</v>
      </c>
      <c r="C92" s="14" t="s">
        <v>24</v>
      </c>
      <c r="D92" s="14" t="s">
        <v>727</v>
      </c>
      <c r="E92" s="14" t="s">
        <v>720</v>
      </c>
      <c r="F92" s="14" t="s">
        <v>721</v>
      </c>
      <c r="G92" s="14" t="s">
        <v>158</v>
      </c>
      <c r="H92" s="15" t="n">
        <v>1</v>
      </c>
      <c r="I92" s="15" t="n">
        <v>380</v>
      </c>
      <c r="J92" s="15" t="n">
        <v>40</v>
      </c>
      <c r="K92" s="15" t="n">
        <v>300</v>
      </c>
      <c r="L92" s="15" t="n">
        <v>3200</v>
      </c>
      <c r="M92" s="15" t="n">
        <v>295</v>
      </c>
      <c r="N92" s="15" t="n">
        <v>0</v>
      </c>
      <c r="O92" s="15" t="n">
        <v>0</v>
      </c>
      <c r="P92" s="14" t="s">
        <v>183</v>
      </c>
      <c r="Q92" s="15" t="s">
        <v>728</v>
      </c>
      <c r="R92" s="14"/>
      <c r="S92" s="14" t="s">
        <v>729</v>
      </c>
      <c r="T92" s="14" t="s">
        <v>730</v>
      </c>
      <c r="U92" s="14" t="s">
        <v>731</v>
      </c>
      <c r="V92" s="14" t="s">
        <v>84</v>
      </c>
      <c r="W92" s="14" t="s">
        <v>85</v>
      </c>
      <c r="X92" s="14"/>
    </row>
    <row r="93" customFormat="false" ht="90" hidden="false" customHeight="true" outlineLevel="0" collapsed="false">
      <c r="A93" s="13" t="s">
        <v>732</v>
      </c>
      <c r="B93" s="14" t="s">
        <v>35</v>
      </c>
      <c r="C93" s="14" t="s">
        <v>25</v>
      </c>
      <c r="D93" s="14" t="s">
        <v>733</v>
      </c>
      <c r="E93" s="14" t="s">
        <v>481</v>
      </c>
      <c r="F93" s="14" t="s">
        <v>482</v>
      </c>
      <c r="G93" s="14" t="s">
        <v>158</v>
      </c>
      <c r="H93" s="15" t="n">
        <v>2</v>
      </c>
      <c r="I93" s="15" t="n">
        <v>750</v>
      </c>
      <c r="J93" s="15" t="n">
        <v>40</v>
      </c>
      <c r="K93" s="15" t="n">
        <v>900</v>
      </c>
      <c r="L93" s="15" t="n">
        <v>3975</v>
      </c>
      <c r="M93" s="15" t="n">
        <v>2075</v>
      </c>
      <c r="N93" s="15" t="n">
        <v>1050</v>
      </c>
      <c r="O93" s="15" t="n">
        <v>90</v>
      </c>
      <c r="P93" s="14" t="s">
        <v>78</v>
      </c>
      <c r="Q93" s="15" t="s">
        <v>734</v>
      </c>
      <c r="R93" s="14"/>
      <c r="S93" s="14" t="s">
        <v>735</v>
      </c>
      <c r="T93" s="14" t="s">
        <v>736</v>
      </c>
      <c r="U93" s="14" t="s">
        <v>737</v>
      </c>
      <c r="V93" s="14" t="s">
        <v>84</v>
      </c>
      <c r="W93" s="14" t="s">
        <v>164</v>
      </c>
      <c r="X93" s="14"/>
    </row>
    <row r="94" customFormat="false" ht="90" hidden="false" customHeight="true" outlineLevel="0" collapsed="false">
      <c r="A94" s="13" t="s">
        <v>738</v>
      </c>
      <c r="B94" s="14" t="s">
        <v>35</v>
      </c>
      <c r="C94" s="14" t="s">
        <v>25</v>
      </c>
      <c r="D94" s="14" t="s">
        <v>739</v>
      </c>
      <c r="E94" s="14" t="s">
        <v>720</v>
      </c>
      <c r="F94" s="14" t="s">
        <v>721</v>
      </c>
      <c r="G94" s="14" t="s">
        <v>158</v>
      </c>
      <c r="H94" s="15" t="n">
        <v>1</v>
      </c>
      <c r="I94" s="15" t="n">
        <v>300</v>
      </c>
      <c r="J94" s="15" t="n">
        <v>40</v>
      </c>
      <c r="K94" s="15" t="n">
        <v>400</v>
      </c>
      <c r="L94" s="15" t="n">
        <v>2420</v>
      </c>
      <c r="M94" s="15" t="n">
        <v>3150</v>
      </c>
      <c r="N94" s="15" t="n">
        <v>0</v>
      </c>
      <c r="O94" s="15" t="n">
        <v>270</v>
      </c>
      <c r="P94" s="14" t="s">
        <v>120</v>
      </c>
      <c r="Q94" s="15" t="s">
        <v>740</v>
      </c>
      <c r="R94" s="14" t="s">
        <v>741</v>
      </c>
      <c r="S94" s="14" t="s">
        <v>742</v>
      </c>
      <c r="T94" s="14" t="s">
        <v>743</v>
      </c>
      <c r="U94" s="14" t="s">
        <v>744</v>
      </c>
      <c r="V94" s="14" t="s">
        <v>84</v>
      </c>
      <c r="W94" s="14" t="s">
        <v>164</v>
      </c>
      <c r="X94" s="14"/>
    </row>
    <row r="95" customFormat="false" ht="90" hidden="false" customHeight="true" outlineLevel="0" collapsed="false">
      <c r="A95" s="13" t="s">
        <v>745</v>
      </c>
      <c r="B95" s="14" t="s">
        <v>35</v>
      </c>
      <c r="C95" s="14" t="s">
        <v>25</v>
      </c>
      <c r="D95" s="14" t="s">
        <v>746</v>
      </c>
      <c r="E95" s="14" t="s">
        <v>167</v>
      </c>
      <c r="F95" s="14" t="s">
        <v>168</v>
      </c>
      <c r="G95" s="14" t="s">
        <v>169</v>
      </c>
      <c r="H95" s="15" t="n">
        <v>1</v>
      </c>
      <c r="I95" s="15" t="n">
        <v>250</v>
      </c>
      <c r="J95" s="15" t="n">
        <v>250</v>
      </c>
      <c r="K95" s="15" t="n">
        <v>150</v>
      </c>
      <c r="L95" s="15" t="n">
        <v>3720</v>
      </c>
      <c r="M95" s="15" t="n">
        <v>1800</v>
      </c>
      <c r="N95" s="15" t="s">
        <v>170</v>
      </c>
      <c r="O95" s="15" t="n">
        <v>0</v>
      </c>
      <c r="P95" s="14" t="s">
        <v>90</v>
      </c>
      <c r="Q95" s="15" t="s">
        <v>747</v>
      </c>
      <c r="R95" s="14" t="s">
        <v>196</v>
      </c>
      <c r="S95" s="14" t="s">
        <v>748</v>
      </c>
      <c r="T95" s="14" t="s">
        <v>174</v>
      </c>
      <c r="U95" s="14" t="s">
        <v>749</v>
      </c>
      <c r="V95" s="14" t="s">
        <v>84</v>
      </c>
      <c r="W95" s="14" t="s">
        <v>164</v>
      </c>
      <c r="X95" s="14"/>
    </row>
    <row r="96" customFormat="false" ht="90" hidden="false" customHeight="true" outlineLevel="0" collapsed="false">
      <c r="A96" s="13" t="s">
        <v>750</v>
      </c>
      <c r="B96" s="14" t="s">
        <v>35</v>
      </c>
      <c r="C96" s="14" t="s">
        <v>25</v>
      </c>
      <c r="D96" s="14" t="s">
        <v>445</v>
      </c>
      <c r="E96" s="14" t="s">
        <v>167</v>
      </c>
      <c r="F96" s="14" t="s">
        <v>168</v>
      </c>
      <c r="G96" s="14" t="s">
        <v>169</v>
      </c>
      <c r="H96" s="15" t="n">
        <v>1</v>
      </c>
      <c r="I96" s="15" t="n">
        <v>250</v>
      </c>
      <c r="J96" s="15" t="n">
        <v>250</v>
      </c>
      <c r="K96" s="15" t="n">
        <v>150</v>
      </c>
      <c r="L96" s="15" t="n">
        <v>3720</v>
      </c>
      <c r="M96" s="15" t="n">
        <v>2300</v>
      </c>
      <c r="N96" s="15" t="s">
        <v>170</v>
      </c>
      <c r="O96" s="15" t="n">
        <v>0</v>
      </c>
      <c r="P96" s="14" t="s">
        <v>90</v>
      </c>
      <c r="Q96" s="15" t="s">
        <v>446</v>
      </c>
      <c r="R96" s="14"/>
      <c r="S96" s="14" t="s">
        <v>447</v>
      </c>
      <c r="T96" s="14" t="s">
        <v>174</v>
      </c>
      <c r="U96" s="14" t="s">
        <v>751</v>
      </c>
      <c r="V96" s="14" t="s">
        <v>84</v>
      </c>
      <c r="W96" s="14" t="s">
        <v>164</v>
      </c>
      <c r="X96" s="14"/>
    </row>
    <row r="97" customFormat="false" ht="90" hidden="false" customHeight="true" outlineLevel="0" collapsed="false">
      <c r="A97" s="13" t="s">
        <v>752</v>
      </c>
      <c r="B97" s="14" t="s">
        <v>35</v>
      </c>
      <c r="C97" s="14" t="s">
        <v>25</v>
      </c>
      <c r="D97" s="14" t="s">
        <v>753</v>
      </c>
      <c r="E97" s="14" t="s">
        <v>302</v>
      </c>
      <c r="F97" s="14" t="s">
        <v>303</v>
      </c>
      <c r="G97" s="14" t="s">
        <v>169</v>
      </c>
      <c r="H97" s="15" t="n">
        <v>1</v>
      </c>
      <c r="I97" s="15" t="n">
        <v>250</v>
      </c>
      <c r="J97" s="15" t="n">
        <v>250</v>
      </c>
      <c r="K97" s="15" t="n">
        <v>150</v>
      </c>
      <c r="L97" s="15" t="n">
        <v>3720</v>
      </c>
      <c r="M97" s="15" t="n">
        <v>1150</v>
      </c>
      <c r="N97" s="15" t="s">
        <v>170</v>
      </c>
      <c r="O97" s="15" t="n">
        <v>0</v>
      </c>
      <c r="P97" s="14" t="s">
        <v>90</v>
      </c>
      <c r="Q97" s="15" t="s">
        <v>754</v>
      </c>
      <c r="R97" s="14"/>
      <c r="S97" s="14" t="s">
        <v>755</v>
      </c>
      <c r="T97" s="14" t="s">
        <v>307</v>
      </c>
      <c r="U97" s="14" t="s">
        <v>756</v>
      </c>
      <c r="V97" s="14" t="s">
        <v>84</v>
      </c>
      <c r="W97" s="14" t="s">
        <v>164</v>
      </c>
      <c r="X97" s="14"/>
    </row>
    <row r="98" customFormat="false" ht="90" hidden="false" customHeight="true" outlineLevel="0" collapsed="false">
      <c r="A98" s="13" t="s">
        <v>757</v>
      </c>
      <c r="B98" s="14" t="s">
        <v>35</v>
      </c>
      <c r="C98" s="14" t="s">
        <v>25</v>
      </c>
      <c r="D98" s="14" t="s">
        <v>618</v>
      </c>
      <c r="E98" s="14" t="s">
        <v>167</v>
      </c>
      <c r="F98" s="14" t="s">
        <v>168</v>
      </c>
      <c r="G98" s="14" t="s">
        <v>169</v>
      </c>
      <c r="H98" s="15" t="n">
        <v>1</v>
      </c>
      <c r="I98" s="15" t="n">
        <v>250</v>
      </c>
      <c r="J98" s="15" t="n">
        <v>250</v>
      </c>
      <c r="K98" s="15" t="n">
        <v>150</v>
      </c>
      <c r="L98" s="15" t="n">
        <v>3720</v>
      </c>
      <c r="M98" s="15" t="n">
        <v>2450</v>
      </c>
      <c r="N98" s="15" t="s">
        <v>170</v>
      </c>
      <c r="O98" s="15" t="n">
        <v>0</v>
      </c>
      <c r="P98" s="14" t="s">
        <v>90</v>
      </c>
      <c r="Q98" s="15" t="s">
        <v>619</v>
      </c>
      <c r="R98" s="14"/>
      <c r="S98" s="14" t="s">
        <v>620</v>
      </c>
      <c r="T98" s="14" t="s">
        <v>174</v>
      </c>
      <c r="U98" s="14" t="s">
        <v>758</v>
      </c>
      <c r="V98" s="14" t="s">
        <v>84</v>
      </c>
      <c r="W98" s="14" t="s">
        <v>164</v>
      </c>
      <c r="X98" s="14"/>
    </row>
    <row r="99" customFormat="false" ht="90" hidden="false" customHeight="true" outlineLevel="0" collapsed="false">
      <c r="A99" s="13" t="s">
        <v>759</v>
      </c>
      <c r="B99" s="14" t="s">
        <v>35</v>
      </c>
      <c r="C99" s="14" t="s">
        <v>26</v>
      </c>
      <c r="D99" s="14" t="s">
        <v>760</v>
      </c>
      <c r="E99" s="14" t="s">
        <v>629</v>
      </c>
      <c r="F99" s="14" t="s">
        <v>630</v>
      </c>
      <c r="G99" s="14" t="s">
        <v>218</v>
      </c>
      <c r="H99" s="15" t="n">
        <v>1</v>
      </c>
      <c r="I99" s="15" t="n">
        <v>3457</v>
      </c>
      <c r="J99" s="15" t="n">
        <v>1684</v>
      </c>
      <c r="K99" s="15" t="n">
        <v>0</v>
      </c>
      <c r="L99" s="15" t="n">
        <v>3198</v>
      </c>
      <c r="M99" s="15" t="n">
        <v>1958</v>
      </c>
      <c r="N99" s="15" t="n">
        <v>0</v>
      </c>
      <c r="O99" s="15" t="n">
        <v>0</v>
      </c>
      <c r="P99" s="14" t="s">
        <v>90</v>
      </c>
      <c r="Q99" s="15" t="s">
        <v>761</v>
      </c>
      <c r="R99" s="14" t="s">
        <v>762</v>
      </c>
      <c r="S99" s="14" t="s">
        <v>763</v>
      </c>
      <c r="T99" s="14" t="s">
        <v>764</v>
      </c>
      <c r="U99" s="14" t="s">
        <v>765</v>
      </c>
      <c r="V99" s="14" t="s">
        <v>84</v>
      </c>
      <c r="W99" s="14" t="s">
        <v>213</v>
      </c>
      <c r="X99" s="14"/>
    </row>
    <row r="100" customFormat="false" ht="90" hidden="false" customHeight="true" outlineLevel="0" collapsed="false">
      <c r="A100" s="13" t="s">
        <v>766</v>
      </c>
      <c r="B100" s="14" t="s">
        <v>35</v>
      </c>
      <c r="C100" s="14" t="s">
        <v>26</v>
      </c>
      <c r="D100" s="14" t="s">
        <v>767</v>
      </c>
      <c r="E100" s="14" t="s">
        <v>235</v>
      </c>
      <c r="F100" s="14" t="s">
        <v>236</v>
      </c>
      <c r="G100" s="14" t="s">
        <v>158</v>
      </c>
      <c r="H100" s="15" t="n">
        <v>1</v>
      </c>
      <c r="I100" s="15" t="n">
        <v>1595</v>
      </c>
      <c r="J100" s="15" t="n">
        <v>40</v>
      </c>
      <c r="K100" s="15" t="n">
        <v>2700</v>
      </c>
      <c r="L100" s="15" t="n">
        <v>3198</v>
      </c>
      <c r="M100" s="15" t="n">
        <v>3620</v>
      </c>
      <c r="N100" s="15" t="n">
        <v>0</v>
      </c>
      <c r="O100" s="15" t="n">
        <v>180</v>
      </c>
      <c r="P100" s="14" t="s">
        <v>159</v>
      </c>
      <c r="Q100" s="15" t="s">
        <v>768</v>
      </c>
      <c r="R100" s="14" t="s">
        <v>741</v>
      </c>
      <c r="S100" s="14" t="s">
        <v>769</v>
      </c>
      <c r="T100" s="14" t="s">
        <v>770</v>
      </c>
      <c r="U100" s="14" t="s">
        <v>771</v>
      </c>
      <c r="V100" s="14" t="s">
        <v>84</v>
      </c>
      <c r="W100" s="14" t="s">
        <v>213</v>
      </c>
      <c r="X100" s="14"/>
    </row>
    <row r="101" customFormat="false" ht="90" hidden="false" customHeight="true" outlineLevel="0" collapsed="false">
      <c r="A101" s="13" t="s">
        <v>772</v>
      </c>
      <c r="B101" s="14" t="s">
        <v>35</v>
      </c>
      <c r="C101" s="14" t="s">
        <v>26</v>
      </c>
      <c r="D101" s="14" t="s">
        <v>773</v>
      </c>
      <c r="E101" s="14" t="s">
        <v>216</v>
      </c>
      <c r="F101" s="14" t="s">
        <v>217</v>
      </c>
      <c r="G101" s="14" t="s">
        <v>218</v>
      </c>
      <c r="H101" s="15" t="n">
        <v>1</v>
      </c>
      <c r="I101" s="15" t="n">
        <v>3457</v>
      </c>
      <c r="J101" s="15" t="n">
        <v>1684</v>
      </c>
      <c r="K101" s="15" t="n">
        <v>15</v>
      </c>
      <c r="L101" s="15" t="n">
        <v>3198</v>
      </c>
      <c r="M101" s="15" t="n">
        <v>1958</v>
      </c>
      <c r="N101" s="15" t="n">
        <v>0</v>
      </c>
      <c r="O101" s="15" t="n">
        <v>0</v>
      </c>
      <c r="P101" s="14" t="s">
        <v>90</v>
      </c>
      <c r="Q101" s="15" t="s">
        <v>774</v>
      </c>
      <c r="R101" s="14" t="s">
        <v>775</v>
      </c>
      <c r="S101" s="14" t="s">
        <v>776</v>
      </c>
      <c r="T101" s="14" t="s">
        <v>777</v>
      </c>
      <c r="U101" s="14" t="s">
        <v>778</v>
      </c>
      <c r="V101" s="14" t="s">
        <v>84</v>
      </c>
      <c r="W101" s="14" t="s">
        <v>213</v>
      </c>
      <c r="X101" s="14"/>
    </row>
    <row r="102" customFormat="false" ht="90" hidden="false" customHeight="true" outlineLevel="0" collapsed="false">
      <c r="A102" s="13" t="s">
        <v>779</v>
      </c>
      <c r="B102" s="14" t="s">
        <v>35</v>
      </c>
      <c r="C102" s="14" t="s">
        <v>26</v>
      </c>
      <c r="D102" s="14" t="s">
        <v>780</v>
      </c>
      <c r="E102" s="14" t="s">
        <v>167</v>
      </c>
      <c r="F102" s="14" t="s">
        <v>168</v>
      </c>
      <c r="G102" s="14" t="s">
        <v>169</v>
      </c>
      <c r="H102" s="15" t="n">
        <v>1</v>
      </c>
      <c r="I102" s="15" t="n">
        <v>250</v>
      </c>
      <c r="J102" s="15" t="n">
        <v>250</v>
      </c>
      <c r="K102" s="15" t="n">
        <v>150</v>
      </c>
      <c r="L102" s="15" t="n">
        <v>3200</v>
      </c>
      <c r="M102" s="15" t="n">
        <v>3480</v>
      </c>
      <c r="N102" s="15" t="s">
        <v>170</v>
      </c>
      <c r="O102" s="15" t="n">
        <v>0</v>
      </c>
      <c r="P102" s="14" t="s">
        <v>90</v>
      </c>
      <c r="Q102" s="15" t="s">
        <v>781</v>
      </c>
      <c r="R102" s="14" t="s">
        <v>196</v>
      </c>
      <c r="S102" s="14" t="s">
        <v>782</v>
      </c>
      <c r="T102" s="14" t="s">
        <v>174</v>
      </c>
      <c r="U102" s="14" t="s">
        <v>783</v>
      </c>
      <c r="V102" s="14" t="s">
        <v>84</v>
      </c>
      <c r="W102" s="14" t="s">
        <v>213</v>
      </c>
      <c r="X102" s="14"/>
    </row>
    <row r="103" customFormat="false" ht="90" hidden="false" customHeight="true" outlineLevel="0" collapsed="false">
      <c r="A103" s="13" t="s">
        <v>784</v>
      </c>
      <c r="B103" s="14" t="s">
        <v>35</v>
      </c>
      <c r="C103" s="14" t="s">
        <v>27</v>
      </c>
      <c r="D103" s="14" t="s">
        <v>785</v>
      </c>
      <c r="E103" s="14" t="s">
        <v>277</v>
      </c>
      <c r="F103" s="14" t="s">
        <v>278</v>
      </c>
      <c r="G103" s="14" t="s">
        <v>158</v>
      </c>
      <c r="H103" s="15" t="n">
        <v>2</v>
      </c>
      <c r="I103" s="15" t="n">
        <v>180</v>
      </c>
      <c r="J103" s="15" t="n">
        <v>180</v>
      </c>
      <c r="K103" s="15" t="n">
        <v>200</v>
      </c>
      <c r="L103" s="15" t="n">
        <v>3950</v>
      </c>
      <c r="M103" s="15" t="n">
        <v>1050</v>
      </c>
      <c r="N103" s="15" t="n">
        <v>1500</v>
      </c>
      <c r="O103" s="15" t="n">
        <v>0</v>
      </c>
      <c r="P103" s="14" t="s">
        <v>90</v>
      </c>
      <c r="Q103" s="15" t="s">
        <v>786</v>
      </c>
      <c r="R103" s="14"/>
      <c r="S103" s="14" t="s">
        <v>787</v>
      </c>
      <c r="T103" s="14" t="s">
        <v>788</v>
      </c>
      <c r="U103" s="14" t="s">
        <v>789</v>
      </c>
      <c r="V103" s="14" t="s">
        <v>84</v>
      </c>
      <c r="W103" s="14" t="s">
        <v>266</v>
      </c>
      <c r="X103" s="14"/>
    </row>
    <row r="104" customFormat="false" ht="90" hidden="false" customHeight="true" outlineLevel="0" collapsed="false">
      <c r="A104" s="13" t="s">
        <v>790</v>
      </c>
      <c r="B104" s="14" t="s">
        <v>35</v>
      </c>
      <c r="C104" s="14" t="s">
        <v>27</v>
      </c>
      <c r="D104" s="14" t="s">
        <v>791</v>
      </c>
      <c r="E104" s="14" t="s">
        <v>359</v>
      </c>
      <c r="F104" s="14" t="s">
        <v>360</v>
      </c>
      <c r="G104" s="14" t="s">
        <v>169</v>
      </c>
      <c r="H104" s="15" t="n">
        <v>1</v>
      </c>
      <c r="I104" s="15" t="n">
        <v>1300</v>
      </c>
      <c r="J104" s="15" t="n">
        <v>40</v>
      </c>
      <c r="K104" s="15" t="n">
        <v>10</v>
      </c>
      <c r="L104" s="15" t="n">
        <v>3950</v>
      </c>
      <c r="M104" s="15" t="n">
        <v>1800</v>
      </c>
      <c r="N104" s="15" t="s">
        <v>170</v>
      </c>
      <c r="O104" s="15" t="n">
        <v>0</v>
      </c>
      <c r="P104" s="14" t="s">
        <v>90</v>
      </c>
      <c r="Q104" s="15" t="s">
        <v>361</v>
      </c>
      <c r="R104" s="14"/>
      <c r="S104" s="14" t="s">
        <v>792</v>
      </c>
      <c r="T104" s="14" t="s">
        <v>793</v>
      </c>
      <c r="U104" s="14" t="s">
        <v>794</v>
      </c>
      <c r="V104" s="14" t="s">
        <v>84</v>
      </c>
      <c r="W104" s="14" t="s">
        <v>266</v>
      </c>
      <c r="X104" s="14"/>
    </row>
    <row r="105" customFormat="false" ht="90" hidden="false" customHeight="true" outlineLevel="0" collapsed="false">
      <c r="A105" s="13" t="s">
        <v>795</v>
      </c>
      <c r="B105" s="14" t="s">
        <v>35</v>
      </c>
      <c r="C105" s="14" t="s">
        <v>27</v>
      </c>
      <c r="D105" s="14" t="s">
        <v>796</v>
      </c>
      <c r="E105" s="14" t="s">
        <v>285</v>
      </c>
      <c r="F105" s="14" t="s">
        <v>286</v>
      </c>
      <c r="G105" s="14" t="s">
        <v>245</v>
      </c>
      <c r="H105" s="15" t="n">
        <v>1</v>
      </c>
      <c r="I105" s="15" t="n">
        <v>150</v>
      </c>
      <c r="J105" s="15" t="n">
        <v>150</v>
      </c>
      <c r="K105" s="15" t="n">
        <v>80</v>
      </c>
      <c r="L105" s="15" t="n">
        <v>2420</v>
      </c>
      <c r="M105" s="15" t="n">
        <v>3150</v>
      </c>
      <c r="N105" s="15" t="n">
        <v>2750</v>
      </c>
      <c r="O105" s="15" t="n">
        <v>0</v>
      </c>
      <c r="P105" s="14" t="s">
        <v>90</v>
      </c>
      <c r="Q105" s="15" t="s">
        <v>797</v>
      </c>
      <c r="R105" s="14" t="s">
        <v>196</v>
      </c>
      <c r="S105" s="14" t="s">
        <v>798</v>
      </c>
      <c r="T105" s="14" t="s">
        <v>799</v>
      </c>
      <c r="U105" s="14" t="s">
        <v>800</v>
      </c>
      <c r="V105" s="14" t="s">
        <v>84</v>
      </c>
      <c r="W105" s="14" t="s">
        <v>266</v>
      </c>
      <c r="X105" s="14"/>
    </row>
    <row r="106" customFormat="false" ht="90" hidden="false" customHeight="true" outlineLevel="0" collapsed="false">
      <c r="A106" s="13" t="s">
        <v>801</v>
      </c>
      <c r="B106" s="14" t="s">
        <v>35</v>
      </c>
      <c r="C106" s="14" t="s">
        <v>27</v>
      </c>
      <c r="D106" s="14" t="s">
        <v>802</v>
      </c>
      <c r="E106" s="14" t="s">
        <v>285</v>
      </c>
      <c r="F106" s="14" t="s">
        <v>286</v>
      </c>
      <c r="G106" s="14" t="s">
        <v>245</v>
      </c>
      <c r="H106" s="15" t="n">
        <v>1</v>
      </c>
      <c r="I106" s="15" t="n">
        <v>200</v>
      </c>
      <c r="J106" s="15" t="n">
        <v>200</v>
      </c>
      <c r="K106" s="15" t="n">
        <v>80</v>
      </c>
      <c r="L106" s="15" t="n">
        <v>3200</v>
      </c>
      <c r="M106" s="15" t="n">
        <v>3150</v>
      </c>
      <c r="N106" s="15" t="n">
        <v>2750</v>
      </c>
      <c r="O106" s="15" t="n">
        <v>0</v>
      </c>
      <c r="P106" s="14" t="s">
        <v>90</v>
      </c>
      <c r="Q106" s="15" t="s">
        <v>803</v>
      </c>
      <c r="R106" s="14" t="s">
        <v>196</v>
      </c>
      <c r="S106" s="14" t="s">
        <v>804</v>
      </c>
      <c r="T106" s="14" t="s">
        <v>805</v>
      </c>
      <c r="U106" s="14" t="s">
        <v>806</v>
      </c>
      <c r="V106" s="14" t="s">
        <v>84</v>
      </c>
      <c r="W106" s="14" t="s">
        <v>266</v>
      </c>
      <c r="X106" s="14"/>
    </row>
    <row r="107" customFormat="false" ht="90" hidden="false" customHeight="true" outlineLevel="0" collapsed="false">
      <c r="A107" s="13" t="s">
        <v>807</v>
      </c>
      <c r="B107" s="14" t="s">
        <v>35</v>
      </c>
      <c r="C107" s="14" t="s">
        <v>27</v>
      </c>
      <c r="D107" s="14" t="s">
        <v>808</v>
      </c>
      <c r="E107" s="14" t="s">
        <v>167</v>
      </c>
      <c r="F107" s="14" t="s">
        <v>168</v>
      </c>
      <c r="G107" s="14" t="s">
        <v>169</v>
      </c>
      <c r="H107" s="15" t="n">
        <v>1</v>
      </c>
      <c r="I107" s="15" t="n">
        <v>600</v>
      </c>
      <c r="J107" s="15" t="n">
        <v>44</v>
      </c>
      <c r="K107" s="15" t="n">
        <v>1200</v>
      </c>
      <c r="L107" s="15" t="n">
        <v>2378</v>
      </c>
      <c r="M107" s="15" t="n">
        <v>700</v>
      </c>
      <c r="N107" s="15" t="s">
        <v>170</v>
      </c>
      <c r="O107" s="15" t="n">
        <v>270</v>
      </c>
      <c r="P107" s="14" t="s">
        <v>120</v>
      </c>
      <c r="Q107" s="15" t="s">
        <v>809</v>
      </c>
      <c r="R107" s="14" t="s">
        <v>196</v>
      </c>
      <c r="S107" s="14" t="s">
        <v>810</v>
      </c>
      <c r="T107" s="14" t="s">
        <v>811</v>
      </c>
      <c r="U107" s="14" t="s">
        <v>812</v>
      </c>
      <c r="V107" s="14" t="s">
        <v>84</v>
      </c>
      <c r="W107" s="14" t="s">
        <v>266</v>
      </c>
      <c r="X107" s="14"/>
    </row>
    <row r="108" customFormat="false" ht="90" hidden="false" customHeight="true" outlineLevel="0" collapsed="false">
      <c r="A108" s="13" t="s">
        <v>813</v>
      </c>
      <c r="B108" s="14" t="s">
        <v>35</v>
      </c>
      <c r="C108" s="14" t="s">
        <v>27</v>
      </c>
      <c r="D108" s="14" t="s">
        <v>814</v>
      </c>
      <c r="E108" s="14" t="s">
        <v>302</v>
      </c>
      <c r="F108" s="14" t="s">
        <v>303</v>
      </c>
      <c r="G108" s="14" t="s">
        <v>169</v>
      </c>
      <c r="H108" s="15" t="n">
        <v>1</v>
      </c>
      <c r="I108" s="15" t="n">
        <v>250</v>
      </c>
      <c r="J108" s="15" t="n">
        <v>250</v>
      </c>
      <c r="K108" s="15" t="n">
        <v>150</v>
      </c>
      <c r="L108" s="15" t="n">
        <v>2450</v>
      </c>
      <c r="M108" s="15" t="n">
        <v>700</v>
      </c>
      <c r="N108" s="15" t="s">
        <v>170</v>
      </c>
      <c r="O108" s="15" t="n">
        <v>0</v>
      </c>
      <c r="P108" s="14" t="s">
        <v>90</v>
      </c>
      <c r="Q108" s="15" t="s">
        <v>754</v>
      </c>
      <c r="R108" s="14" t="s">
        <v>714</v>
      </c>
      <c r="S108" s="14" t="s">
        <v>815</v>
      </c>
      <c r="T108" s="14" t="s">
        <v>307</v>
      </c>
      <c r="U108" s="14" t="s">
        <v>816</v>
      </c>
      <c r="V108" s="14" t="s">
        <v>84</v>
      </c>
      <c r="W108" s="14" t="s">
        <v>266</v>
      </c>
      <c r="X108" s="14"/>
    </row>
    <row r="109" customFormat="false" ht="90" hidden="false" customHeight="true" outlineLevel="0" collapsed="false">
      <c r="A109" s="13" t="s">
        <v>817</v>
      </c>
      <c r="B109" s="14" t="s">
        <v>35</v>
      </c>
      <c r="C109" s="14" t="s">
        <v>27</v>
      </c>
      <c r="D109" s="14" t="s">
        <v>818</v>
      </c>
      <c r="E109" s="14" t="s">
        <v>293</v>
      </c>
      <c r="F109" s="14" t="s">
        <v>294</v>
      </c>
      <c r="G109" s="14" t="s">
        <v>77</v>
      </c>
      <c r="H109" s="15" t="n">
        <v>1</v>
      </c>
      <c r="I109" s="15" t="n">
        <v>600</v>
      </c>
      <c r="J109" s="15" t="n">
        <v>500</v>
      </c>
      <c r="K109" s="15" t="n">
        <v>12</v>
      </c>
      <c r="L109" s="15" t="n">
        <v>3000</v>
      </c>
      <c r="M109" s="15" t="n">
        <v>1550</v>
      </c>
      <c r="N109" s="15" t="n">
        <v>0</v>
      </c>
      <c r="O109" s="15" t="n">
        <v>0</v>
      </c>
      <c r="P109" s="14" t="s">
        <v>90</v>
      </c>
      <c r="Q109" s="15" t="s">
        <v>819</v>
      </c>
      <c r="R109" s="14" t="s">
        <v>296</v>
      </c>
      <c r="S109" s="14" t="s">
        <v>820</v>
      </c>
      <c r="T109" s="14" t="s">
        <v>821</v>
      </c>
      <c r="U109" s="14" t="s">
        <v>822</v>
      </c>
      <c r="V109" s="14" t="s">
        <v>84</v>
      </c>
      <c r="W109" s="14" t="s">
        <v>266</v>
      </c>
      <c r="X109" s="14"/>
    </row>
    <row r="110" customFormat="false" ht="90" hidden="false" customHeight="true" outlineLevel="0" collapsed="false">
      <c r="A110" s="13" t="s">
        <v>823</v>
      </c>
      <c r="B110" s="14" t="s">
        <v>36</v>
      </c>
      <c r="C110" s="14" t="s">
        <v>24</v>
      </c>
      <c r="D110" s="14" t="s">
        <v>824</v>
      </c>
      <c r="E110" s="14" t="s">
        <v>373</v>
      </c>
      <c r="F110" s="14" t="s">
        <v>374</v>
      </c>
      <c r="G110" s="14" t="s">
        <v>77</v>
      </c>
      <c r="H110" s="15" t="n">
        <v>1</v>
      </c>
      <c r="I110" s="15" t="n">
        <v>1981</v>
      </c>
      <c r="J110" s="15" t="n">
        <v>1829</v>
      </c>
      <c r="K110" s="15" t="n">
        <v>450</v>
      </c>
      <c r="L110" s="15" t="n">
        <v>9348</v>
      </c>
      <c r="M110" s="15" t="n">
        <v>1320</v>
      </c>
      <c r="N110" s="15" t="n">
        <v>0</v>
      </c>
      <c r="O110" s="15" t="n">
        <v>0</v>
      </c>
      <c r="P110" s="14" t="s">
        <v>183</v>
      </c>
      <c r="Q110" s="15" t="s">
        <v>375</v>
      </c>
      <c r="R110" s="14" t="s">
        <v>825</v>
      </c>
      <c r="S110" s="14" t="s">
        <v>826</v>
      </c>
      <c r="T110" s="14" t="s">
        <v>377</v>
      </c>
      <c r="U110" s="14" t="s">
        <v>827</v>
      </c>
      <c r="V110" s="14" t="s">
        <v>84</v>
      </c>
      <c r="W110" s="14" t="s">
        <v>85</v>
      </c>
      <c r="X110" s="14"/>
    </row>
    <row r="111" customFormat="false" ht="90" hidden="false" customHeight="true" outlineLevel="0" collapsed="false">
      <c r="A111" s="13" t="s">
        <v>828</v>
      </c>
      <c r="B111" s="14" t="s">
        <v>36</v>
      </c>
      <c r="C111" s="14" t="s">
        <v>24</v>
      </c>
      <c r="D111" s="14" t="s">
        <v>380</v>
      </c>
      <c r="E111" s="14" t="s">
        <v>381</v>
      </c>
      <c r="F111" s="14" t="s">
        <v>382</v>
      </c>
      <c r="G111" s="14" t="s">
        <v>77</v>
      </c>
      <c r="H111" s="15" t="n">
        <v>2</v>
      </c>
      <c r="I111" s="15" t="n">
        <v>450</v>
      </c>
      <c r="J111" s="15" t="n">
        <v>450</v>
      </c>
      <c r="K111" s="15" t="n">
        <v>550</v>
      </c>
      <c r="L111" s="15" t="n">
        <v>8158</v>
      </c>
      <c r="M111" s="15" t="n">
        <v>555</v>
      </c>
      <c r="N111" s="15" t="n">
        <v>0</v>
      </c>
      <c r="O111" s="15" t="n">
        <v>0</v>
      </c>
      <c r="P111" s="14" t="s">
        <v>90</v>
      </c>
      <c r="Q111" s="15" t="s">
        <v>383</v>
      </c>
      <c r="R111" s="14" t="s">
        <v>132</v>
      </c>
      <c r="S111" s="14" t="s">
        <v>384</v>
      </c>
      <c r="T111" s="14" t="s">
        <v>385</v>
      </c>
      <c r="U111" s="14" t="s">
        <v>829</v>
      </c>
      <c r="V111" s="14" t="s">
        <v>84</v>
      </c>
      <c r="W111" s="14" t="s">
        <v>85</v>
      </c>
      <c r="X111" s="14"/>
    </row>
    <row r="112" customFormat="false" ht="90" hidden="false" customHeight="true" outlineLevel="0" collapsed="false">
      <c r="A112" s="13" t="s">
        <v>830</v>
      </c>
      <c r="B112" s="14" t="s">
        <v>36</v>
      </c>
      <c r="C112" s="14" t="s">
        <v>24</v>
      </c>
      <c r="D112" s="14" t="s">
        <v>831</v>
      </c>
      <c r="E112" s="14" t="s">
        <v>832</v>
      </c>
      <c r="F112" s="14" t="s">
        <v>833</v>
      </c>
      <c r="G112" s="14" t="s">
        <v>77</v>
      </c>
      <c r="H112" s="15" t="n">
        <v>1</v>
      </c>
      <c r="I112" s="15" t="n">
        <v>1200</v>
      </c>
      <c r="J112" s="15" t="n">
        <v>450</v>
      </c>
      <c r="K112" s="15" t="n">
        <v>800</v>
      </c>
      <c r="L112" s="15" t="n">
        <v>6835</v>
      </c>
      <c r="M112" s="15" t="n">
        <v>1900</v>
      </c>
      <c r="N112" s="15" t="n">
        <v>0</v>
      </c>
      <c r="O112" s="15" t="n">
        <v>270</v>
      </c>
      <c r="P112" s="14" t="s">
        <v>120</v>
      </c>
      <c r="Q112" s="15" t="s">
        <v>834</v>
      </c>
      <c r="R112" s="14" t="s">
        <v>101</v>
      </c>
      <c r="S112" s="14" t="s">
        <v>835</v>
      </c>
      <c r="T112" s="14" t="s">
        <v>836</v>
      </c>
      <c r="U112" s="14" t="s">
        <v>837</v>
      </c>
      <c r="V112" s="14" t="s">
        <v>84</v>
      </c>
      <c r="W112" s="14" t="s">
        <v>85</v>
      </c>
      <c r="X112" s="14"/>
    </row>
    <row r="113" customFormat="false" ht="90" hidden="false" customHeight="true" outlineLevel="0" collapsed="false">
      <c r="A113" s="13" t="s">
        <v>838</v>
      </c>
      <c r="B113" s="14" t="s">
        <v>36</v>
      </c>
      <c r="C113" s="14" t="s">
        <v>24</v>
      </c>
      <c r="D113" s="14" t="s">
        <v>839</v>
      </c>
      <c r="E113" s="14" t="s">
        <v>389</v>
      </c>
      <c r="F113" s="14" t="s">
        <v>390</v>
      </c>
      <c r="G113" s="14" t="s">
        <v>77</v>
      </c>
      <c r="H113" s="15" t="n">
        <v>1</v>
      </c>
      <c r="I113" s="15" t="n">
        <v>760</v>
      </c>
      <c r="J113" s="15" t="n">
        <v>760</v>
      </c>
      <c r="K113" s="15" t="n">
        <v>800</v>
      </c>
      <c r="L113" s="15" t="n">
        <v>7100</v>
      </c>
      <c r="M113" s="15" t="n">
        <v>700</v>
      </c>
      <c r="N113" s="15" t="n">
        <v>0</v>
      </c>
      <c r="O113" s="15" t="n">
        <v>315</v>
      </c>
      <c r="P113" s="14" t="s">
        <v>840</v>
      </c>
      <c r="Q113" s="15" t="s">
        <v>391</v>
      </c>
      <c r="R113" s="14" t="s">
        <v>841</v>
      </c>
      <c r="S113" s="14" t="s">
        <v>842</v>
      </c>
      <c r="T113" s="14" t="s">
        <v>394</v>
      </c>
      <c r="U113" s="14" t="s">
        <v>843</v>
      </c>
      <c r="V113" s="14" t="s">
        <v>84</v>
      </c>
      <c r="W113" s="14" t="s">
        <v>85</v>
      </c>
      <c r="X113" s="14"/>
    </row>
    <row r="114" customFormat="false" ht="90" hidden="false" customHeight="true" outlineLevel="0" collapsed="false">
      <c r="A114" s="13" t="s">
        <v>844</v>
      </c>
      <c r="B114" s="14" t="s">
        <v>36</v>
      </c>
      <c r="C114" s="14" t="s">
        <v>24</v>
      </c>
      <c r="D114" s="14" t="s">
        <v>398</v>
      </c>
      <c r="E114" s="14" t="s">
        <v>399</v>
      </c>
      <c r="F114" s="14" t="s">
        <v>400</v>
      </c>
      <c r="G114" s="14" t="s">
        <v>77</v>
      </c>
      <c r="H114" s="15" t="n">
        <v>1</v>
      </c>
      <c r="I114" s="15" t="n">
        <v>1300</v>
      </c>
      <c r="J114" s="15" t="n">
        <v>450</v>
      </c>
      <c r="K114" s="15" t="n">
        <v>450</v>
      </c>
      <c r="L114" s="15" t="n">
        <v>9348</v>
      </c>
      <c r="M114" s="15" t="n">
        <v>2586</v>
      </c>
      <c r="N114" s="15" t="n">
        <v>0</v>
      </c>
      <c r="O114" s="15" t="n">
        <v>0</v>
      </c>
      <c r="P114" s="14" t="s">
        <v>90</v>
      </c>
      <c r="Q114" s="15" t="s">
        <v>401</v>
      </c>
      <c r="R114" s="14" t="s">
        <v>122</v>
      </c>
      <c r="S114" s="14" t="s">
        <v>402</v>
      </c>
      <c r="T114" s="14" t="s">
        <v>403</v>
      </c>
      <c r="U114" s="14" t="s">
        <v>845</v>
      </c>
      <c r="V114" s="14" t="s">
        <v>84</v>
      </c>
      <c r="W114" s="14" t="s">
        <v>85</v>
      </c>
      <c r="X114" s="14"/>
    </row>
    <row r="115" customFormat="false" ht="90" hidden="false" customHeight="true" outlineLevel="0" collapsed="false">
      <c r="A115" s="13" t="s">
        <v>846</v>
      </c>
      <c r="B115" s="14" t="s">
        <v>36</v>
      </c>
      <c r="C115" s="14" t="s">
        <v>24</v>
      </c>
      <c r="D115" s="14" t="s">
        <v>847</v>
      </c>
      <c r="E115" s="14" t="s">
        <v>407</v>
      </c>
      <c r="F115" s="14" t="s">
        <v>408</v>
      </c>
      <c r="G115" s="14" t="s">
        <v>77</v>
      </c>
      <c r="H115" s="15" t="n">
        <v>1</v>
      </c>
      <c r="I115" s="15" t="n">
        <v>1500</v>
      </c>
      <c r="J115" s="15" t="n">
        <v>350</v>
      </c>
      <c r="K115" s="15" t="n">
        <v>450</v>
      </c>
      <c r="L115" s="15" t="n">
        <v>9350</v>
      </c>
      <c r="M115" s="15" t="n">
        <v>4170</v>
      </c>
      <c r="N115" s="15" t="n">
        <v>0</v>
      </c>
      <c r="O115" s="15" t="n">
        <v>180</v>
      </c>
      <c r="P115" s="14" t="s">
        <v>159</v>
      </c>
      <c r="Q115" s="15" t="s">
        <v>848</v>
      </c>
      <c r="R115" s="14" t="s">
        <v>184</v>
      </c>
      <c r="S115" s="14" t="s">
        <v>849</v>
      </c>
      <c r="T115" s="14" t="s">
        <v>850</v>
      </c>
      <c r="U115" s="14" t="s">
        <v>851</v>
      </c>
      <c r="V115" s="14" t="s">
        <v>84</v>
      </c>
      <c r="W115" s="14" t="s">
        <v>85</v>
      </c>
      <c r="X115" s="14"/>
    </row>
    <row r="116" customFormat="false" ht="90" hidden="false" customHeight="true" outlineLevel="0" collapsed="false">
      <c r="A116" s="13" t="s">
        <v>852</v>
      </c>
      <c r="B116" s="14" t="s">
        <v>36</v>
      </c>
      <c r="C116" s="14" t="s">
        <v>24</v>
      </c>
      <c r="D116" s="14" t="s">
        <v>853</v>
      </c>
      <c r="E116" s="14" t="s">
        <v>138</v>
      </c>
      <c r="F116" s="14" t="s">
        <v>139</v>
      </c>
      <c r="G116" s="14" t="s">
        <v>77</v>
      </c>
      <c r="H116" s="15" t="n">
        <v>1</v>
      </c>
      <c r="I116" s="15" t="n">
        <v>450</v>
      </c>
      <c r="J116" s="15" t="n">
        <v>450</v>
      </c>
      <c r="K116" s="15" t="n">
        <v>420</v>
      </c>
      <c r="L116" s="15" t="n">
        <v>7400</v>
      </c>
      <c r="M116" s="15" t="n">
        <v>1350</v>
      </c>
      <c r="N116" s="15" t="n">
        <v>0</v>
      </c>
      <c r="O116" s="15" t="n">
        <v>0</v>
      </c>
      <c r="P116" s="14" t="s">
        <v>90</v>
      </c>
      <c r="Q116" s="15" t="s">
        <v>140</v>
      </c>
      <c r="R116" s="14" t="s">
        <v>80</v>
      </c>
      <c r="S116" s="14" t="s">
        <v>854</v>
      </c>
      <c r="T116" s="14" t="s">
        <v>142</v>
      </c>
      <c r="U116" s="14" t="s">
        <v>855</v>
      </c>
      <c r="V116" s="14" t="s">
        <v>84</v>
      </c>
      <c r="W116" s="14" t="s">
        <v>85</v>
      </c>
      <c r="X116" s="14"/>
    </row>
    <row r="117" customFormat="false" ht="90" hidden="false" customHeight="true" outlineLevel="0" collapsed="false">
      <c r="A117" s="13" t="s">
        <v>856</v>
      </c>
      <c r="B117" s="14" t="s">
        <v>36</v>
      </c>
      <c r="C117" s="14" t="s">
        <v>24</v>
      </c>
      <c r="D117" s="14" t="s">
        <v>857</v>
      </c>
      <c r="E117" s="14" t="s">
        <v>147</v>
      </c>
      <c r="F117" s="14" t="s">
        <v>148</v>
      </c>
      <c r="G117" s="14" t="s">
        <v>77</v>
      </c>
      <c r="H117" s="15" t="n">
        <v>1</v>
      </c>
      <c r="I117" s="15" t="n">
        <v>500</v>
      </c>
      <c r="J117" s="15" t="n">
        <v>500</v>
      </c>
      <c r="K117" s="15" t="n">
        <v>1500</v>
      </c>
      <c r="L117" s="15" t="n">
        <v>6900</v>
      </c>
      <c r="M117" s="15" t="n">
        <v>2850</v>
      </c>
      <c r="N117" s="15" t="n">
        <v>0</v>
      </c>
      <c r="O117" s="15" t="n">
        <v>0</v>
      </c>
      <c r="P117" s="14" t="s">
        <v>90</v>
      </c>
      <c r="Q117" s="15" t="s">
        <v>149</v>
      </c>
      <c r="R117" s="14" t="s">
        <v>150</v>
      </c>
      <c r="S117" s="14" t="s">
        <v>858</v>
      </c>
      <c r="T117" s="14" t="s">
        <v>859</v>
      </c>
      <c r="U117" s="14" t="s">
        <v>860</v>
      </c>
      <c r="V117" s="14" t="s">
        <v>114</v>
      </c>
      <c r="W117" s="14" t="s">
        <v>85</v>
      </c>
      <c r="X117" s="14"/>
    </row>
    <row r="118" customFormat="false" ht="90" hidden="false" customHeight="true" outlineLevel="0" collapsed="false">
      <c r="A118" s="13" t="s">
        <v>861</v>
      </c>
      <c r="B118" s="14" t="s">
        <v>36</v>
      </c>
      <c r="C118" s="14" t="s">
        <v>25</v>
      </c>
      <c r="D118" s="14" t="s">
        <v>862</v>
      </c>
      <c r="E118" s="14" t="s">
        <v>156</v>
      </c>
      <c r="F118" s="14" t="s">
        <v>157</v>
      </c>
      <c r="G118" s="14" t="s">
        <v>158</v>
      </c>
      <c r="H118" s="15" t="n">
        <v>1</v>
      </c>
      <c r="I118" s="15" t="n">
        <v>1000</v>
      </c>
      <c r="J118" s="15" t="n">
        <v>40</v>
      </c>
      <c r="K118" s="15" t="n">
        <v>1200</v>
      </c>
      <c r="L118" s="15" t="n">
        <v>10905</v>
      </c>
      <c r="M118" s="15" t="n">
        <v>1700</v>
      </c>
      <c r="N118" s="15" t="n">
        <v>900</v>
      </c>
      <c r="O118" s="15" t="n">
        <v>90</v>
      </c>
      <c r="P118" s="14" t="s">
        <v>78</v>
      </c>
      <c r="Q118" s="15" t="s">
        <v>160</v>
      </c>
      <c r="R118" s="14"/>
      <c r="S118" s="14" t="s">
        <v>863</v>
      </c>
      <c r="T118" s="14" t="s">
        <v>864</v>
      </c>
      <c r="U118" s="14" t="s">
        <v>865</v>
      </c>
      <c r="V118" s="14" t="s">
        <v>84</v>
      </c>
      <c r="W118" s="14" t="s">
        <v>164</v>
      </c>
      <c r="X118" s="14"/>
    </row>
    <row r="119" customFormat="false" ht="90" hidden="false" customHeight="true" outlineLevel="0" collapsed="false">
      <c r="A119" s="13" t="s">
        <v>866</v>
      </c>
      <c r="B119" s="14" t="s">
        <v>36</v>
      </c>
      <c r="C119" s="14" t="s">
        <v>25</v>
      </c>
      <c r="D119" s="14" t="s">
        <v>867</v>
      </c>
      <c r="E119" s="14" t="s">
        <v>156</v>
      </c>
      <c r="F119" s="14" t="s">
        <v>157</v>
      </c>
      <c r="G119" s="14" t="s">
        <v>158</v>
      </c>
      <c r="H119" s="15" t="n">
        <v>2</v>
      </c>
      <c r="I119" s="15" t="n">
        <v>500</v>
      </c>
      <c r="J119" s="15" t="n">
        <v>40</v>
      </c>
      <c r="K119" s="15" t="n">
        <v>700</v>
      </c>
      <c r="L119" s="15" t="n">
        <v>6630</v>
      </c>
      <c r="M119" s="15" t="n">
        <v>1900</v>
      </c>
      <c r="N119" s="15" t="n">
        <v>1150</v>
      </c>
      <c r="O119" s="15" t="n">
        <v>270</v>
      </c>
      <c r="P119" s="14" t="s">
        <v>120</v>
      </c>
      <c r="Q119" s="15" t="s">
        <v>160</v>
      </c>
      <c r="R119" s="14"/>
      <c r="S119" s="14" t="s">
        <v>868</v>
      </c>
      <c r="T119" s="14" t="s">
        <v>869</v>
      </c>
      <c r="U119" s="14" t="s">
        <v>870</v>
      </c>
      <c r="V119" s="14" t="s">
        <v>84</v>
      </c>
      <c r="W119" s="14" t="s">
        <v>164</v>
      </c>
      <c r="X119" s="14"/>
    </row>
    <row r="120" customFormat="false" ht="90" hidden="false" customHeight="true" outlineLevel="0" collapsed="false">
      <c r="A120" s="13" t="s">
        <v>871</v>
      </c>
      <c r="B120" s="14" t="s">
        <v>36</v>
      </c>
      <c r="C120" s="14" t="s">
        <v>25</v>
      </c>
      <c r="D120" s="14" t="s">
        <v>872</v>
      </c>
      <c r="E120" s="14" t="s">
        <v>167</v>
      </c>
      <c r="F120" s="14" t="s">
        <v>168</v>
      </c>
      <c r="G120" s="14" t="s">
        <v>169</v>
      </c>
      <c r="H120" s="15" t="n">
        <v>1</v>
      </c>
      <c r="I120" s="15" t="n">
        <v>250</v>
      </c>
      <c r="J120" s="15" t="n">
        <v>250</v>
      </c>
      <c r="K120" s="15" t="n">
        <v>150</v>
      </c>
      <c r="L120" s="15" t="n">
        <v>6835</v>
      </c>
      <c r="M120" s="15" t="n">
        <v>1600</v>
      </c>
      <c r="N120" s="15" t="s">
        <v>170</v>
      </c>
      <c r="O120" s="15" t="n">
        <v>0</v>
      </c>
      <c r="P120" s="14" t="s">
        <v>90</v>
      </c>
      <c r="Q120" s="15" t="s">
        <v>873</v>
      </c>
      <c r="R120" s="14" t="s">
        <v>172</v>
      </c>
      <c r="S120" s="14" t="s">
        <v>874</v>
      </c>
      <c r="T120" s="14" t="s">
        <v>174</v>
      </c>
      <c r="U120" s="14" t="s">
        <v>875</v>
      </c>
      <c r="V120" s="14" t="s">
        <v>84</v>
      </c>
      <c r="W120" s="14" t="s">
        <v>164</v>
      </c>
      <c r="X120" s="14"/>
    </row>
    <row r="121" customFormat="false" ht="90" hidden="false" customHeight="true" outlineLevel="0" collapsed="false">
      <c r="A121" s="13" t="s">
        <v>876</v>
      </c>
      <c r="B121" s="14" t="s">
        <v>36</v>
      </c>
      <c r="C121" s="14" t="s">
        <v>25</v>
      </c>
      <c r="D121" s="14" t="s">
        <v>877</v>
      </c>
      <c r="E121" s="14" t="s">
        <v>167</v>
      </c>
      <c r="F121" s="14" t="s">
        <v>168</v>
      </c>
      <c r="G121" s="14" t="s">
        <v>169</v>
      </c>
      <c r="H121" s="15" t="n">
        <v>1</v>
      </c>
      <c r="I121" s="15" t="n">
        <v>250</v>
      </c>
      <c r="J121" s="15" t="n">
        <v>250</v>
      </c>
      <c r="K121" s="15" t="n">
        <v>150</v>
      </c>
      <c r="L121" s="15" t="n">
        <v>6835</v>
      </c>
      <c r="M121" s="15" t="n">
        <v>2300</v>
      </c>
      <c r="N121" s="15" t="s">
        <v>170</v>
      </c>
      <c r="O121" s="15" t="n">
        <v>0</v>
      </c>
      <c r="P121" s="14" t="s">
        <v>90</v>
      </c>
      <c r="Q121" s="15" t="s">
        <v>878</v>
      </c>
      <c r="R121" s="14" t="s">
        <v>172</v>
      </c>
      <c r="S121" s="14" t="s">
        <v>879</v>
      </c>
      <c r="T121" s="14" t="s">
        <v>174</v>
      </c>
      <c r="U121" s="14" t="s">
        <v>880</v>
      </c>
      <c r="V121" s="14" t="s">
        <v>84</v>
      </c>
      <c r="W121" s="14" t="s">
        <v>164</v>
      </c>
      <c r="X121" s="14"/>
    </row>
    <row r="122" customFormat="false" ht="90" hidden="false" customHeight="true" outlineLevel="0" collapsed="false">
      <c r="A122" s="13" t="s">
        <v>881</v>
      </c>
      <c r="B122" s="14" t="s">
        <v>36</v>
      </c>
      <c r="C122" s="14" t="s">
        <v>25</v>
      </c>
      <c r="D122" s="14" t="s">
        <v>882</v>
      </c>
      <c r="E122" s="14" t="s">
        <v>167</v>
      </c>
      <c r="F122" s="14" t="s">
        <v>168</v>
      </c>
      <c r="G122" s="14" t="s">
        <v>169</v>
      </c>
      <c r="H122" s="15" t="n">
        <v>1</v>
      </c>
      <c r="I122" s="15" t="n">
        <v>250</v>
      </c>
      <c r="J122" s="15" t="n">
        <v>250</v>
      </c>
      <c r="K122" s="15" t="n">
        <v>150</v>
      </c>
      <c r="L122" s="15" t="n">
        <v>9900</v>
      </c>
      <c r="M122" s="15" t="n">
        <v>4170</v>
      </c>
      <c r="N122" s="15" t="s">
        <v>170</v>
      </c>
      <c r="O122" s="15" t="n">
        <v>0</v>
      </c>
      <c r="P122" s="14" t="s">
        <v>90</v>
      </c>
      <c r="Q122" s="15" t="s">
        <v>178</v>
      </c>
      <c r="R122" s="14"/>
      <c r="S122" s="14" t="s">
        <v>883</v>
      </c>
      <c r="T122" s="14" t="s">
        <v>174</v>
      </c>
      <c r="U122" s="14" t="s">
        <v>884</v>
      </c>
      <c r="V122" s="14" t="s">
        <v>84</v>
      </c>
      <c r="W122" s="14" t="s">
        <v>164</v>
      </c>
      <c r="X122" s="14"/>
    </row>
    <row r="123" customFormat="false" ht="90" hidden="false" customHeight="true" outlineLevel="0" collapsed="false">
      <c r="A123" s="13" t="s">
        <v>885</v>
      </c>
      <c r="B123" s="14" t="s">
        <v>36</v>
      </c>
      <c r="C123" s="14" t="s">
        <v>26</v>
      </c>
      <c r="D123" s="14" t="s">
        <v>886</v>
      </c>
      <c r="E123" s="14" t="s">
        <v>235</v>
      </c>
      <c r="F123" s="14" t="s">
        <v>236</v>
      </c>
      <c r="G123" s="14" t="s">
        <v>158</v>
      </c>
      <c r="H123" s="15" t="n">
        <v>1</v>
      </c>
      <c r="I123" s="15" t="n">
        <v>2900</v>
      </c>
      <c r="J123" s="15" t="n">
        <v>100</v>
      </c>
      <c r="K123" s="15" t="n">
        <v>2700</v>
      </c>
      <c r="L123" s="15" t="n">
        <v>9350</v>
      </c>
      <c r="M123" s="15" t="n">
        <v>280</v>
      </c>
      <c r="N123" s="15" t="n">
        <v>0</v>
      </c>
      <c r="O123" s="15" t="n">
        <v>0</v>
      </c>
      <c r="P123" s="14" t="s">
        <v>183</v>
      </c>
      <c r="Q123" s="15" t="s">
        <v>887</v>
      </c>
      <c r="R123" s="14" t="s">
        <v>526</v>
      </c>
      <c r="S123" s="14" t="s">
        <v>888</v>
      </c>
      <c r="T123" s="14" t="s">
        <v>889</v>
      </c>
      <c r="U123" s="14" t="s">
        <v>890</v>
      </c>
      <c r="V123" s="14" t="s">
        <v>84</v>
      </c>
      <c r="W123" s="14" t="s">
        <v>213</v>
      </c>
      <c r="X123" s="14"/>
    </row>
    <row r="124" customFormat="false" ht="90" hidden="false" customHeight="true" outlineLevel="0" collapsed="false">
      <c r="A124" s="13" t="s">
        <v>891</v>
      </c>
      <c r="B124" s="14" t="s">
        <v>36</v>
      </c>
      <c r="C124" s="14" t="s">
        <v>26</v>
      </c>
      <c r="D124" s="14" t="s">
        <v>892</v>
      </c>
      <c r="E124" s="14" t="s">
        <v>235</v>
      </c>
      <c r="F124" s="14" t="s">
        <v>236</v>
      </c>
      <c r="G124" s="14" t="s">
        <v>158</v>
      </c>
      <c r="H124" s="15" t="n">
        <v>2</v>
      </c>
      <c r="I124" s="15" t="n">
        <v>480</v>
      </c>
      <c r="J124" s="15" t="n">
        <v>40</v>
      </c>
      <c r="K124" s="15" t="n">
        <v>2700</v>
      </c>
      <c r="L124" s="15" t="n">
        <v>8140</v>
      </c>
      <c r="M124" s="15" t="n">
        <v>350</v>
      </c>
      <c r="N124" s="15" t="n">
        <v>0</v>
      </c>
      <c r="O124" s="15" t="n">
        <v>0</v>
      </c>
      <c r="P124" s="14" t="s">
        <v>183</v>
      </c>
      <c r="Q124" s="15" t="s">
        <v>893</v>
      </c>
      <c r="R124" s="14" t="s">
        <v>894</v>
      </c>
      <c r="S124" s="14" t="s">
        <v>895</v>
      </c>
      <c r="T124" s="14" t="s">
        <v>896</v>
      </c>
      <c r="U124" s="14" t="s">
        <v>897</v>
      </c>
      <c r="V124" s="14" t="s">
        <v>84</v>
      </c>
      <c r="W124" s="14" t="s">
        <v>213</v>
      </c>
      <c r="X124" s="14"/>
    </row>
    <row r="125" customFormat="false" ht="90" hidden="false" customHeight="true" outlineLevel="0" collapsed="false">
      <c r="A125" s="13" t="s">
        <v>898</v>
      </c>
      <c r="B125" s="14" t="s">
        <v>36</v>
      </c>
      <c r="C125" s="14" t="s">
        <v>26</v>
      </c>
      <c r="D125" s="14" t="s">
        <v>899</v>
      </c>
      <c r="E125" s="14" t="s">
        <v>243</v>
      </c>
      <c r="F125" s="14" t="s">
        <v>244</v>
      </c>
      <c r="G125" s="14" t="s">
        <v>245</v>
      </c>
      <c r="H125" s="15" t="n">
        <v>1</v>
      </c>
      <c r="I125" s="15" t="n">
        <v>3000</v>
      </c>
      <c r="J125" s="15" t="n">
        <v>2700</v>
      </c>
      <c r="K125" s="15" t="n">
        <v>200</v>
      </c>
      <c r="L125" s="15" t="n">
        <v>9350</v>
      </c>
      <c r="M125" s="15" t="n">
        <v>2300</v>
      </c>
      <c r="N125" s="15" t="n">
        <v>2950</v>
      </c>
      <c r="O125" s="15" t="n">
        <v>0</v>
      </c>
      <c r="P125" s="14" t="s">
        <v>90</v>
      </c>
      <c r="Q125" s="15" t="s">
        <v>246</v>
      </c>
      <c r="R125" s="14" t="s">
        <v>209</v>
      </c>
      <c r="S125" s="14" t="s">
        <v>900</v>
      </c>
      <c r="T125" s="14" t="s">
        <v>901</v>
      </c>
      <c r="U125" s="14" t="s">
        <v>902</v>
      </c>
      <c r="V125" s="14" t="s">
        <v>84</v>
      </c>
      <c r="W125" s="14" t="s">
        <v>213</v>
      </c>
      <c r="X125" s="14"/>
    </row>
    <row r="126" customFormat="false" ht="90" hidden="false" customHeight="true" outlineLevel="0" collapsed="false">
      <c r="A126" s="13" t="s">
        <v>903</v>
      </c>
      <c r="B126" s="14" t="s">
        <v>36</v>
      </c>
      <c r="C126" s="14" t="s">
        <v>26</v>
      </c>
      <c r="D126" s="14" t="s">
        <v>488</v>
      </c>
      <c r="E126" s="14" t="s">
        <v>216</v>
      </c>
      <c r="F126" s="14" t="s">
        <v>217</v>
      </c>
      <c r="G126" s="14" t="s">
        <v>218</v>
      </c>
      <c r="H126" s="15" t="n">
        <v>1</v>
      </c>
      <c r="I126" s="15" t="n">
        <v>4315</v>
      </c>
      <c r="J126" s="15" t="n">
        <v>4115</v>
      </c>
      <c r="K126" s="15" t="n">
        <v>15</v>
      </c>
      <c r="L126" s="15" t="n">
        <v>8768</v>
      </c>
      <c r="M126" s="15" t="n">
        <v>2288</v>
      </c>
      <c r="N126" s="15" t="n">
        <v>0</v>
      </c>
      <c r="O126" s="15" t="n">
        <v>0</v>
      </c>
      <c r="P126" s="14" t="s">
        <v>90</v>
      </c>
      <c r="Q126" s="15" t="s">
        <v>648</v>
      </c>
      <c r="R126" s="14" t="s">
        <v>490</v>
      </c>
      <c r="S126" s="14" t="s">
        <v>904</v>
      </c>
      <c r="T126" s="14" t="s">
        <v>905</v>
      </c>
      <c r="U126" s="14" t="s">
        <v>906</v>
      </c>
      <c r="V126" s="14" t="s">
        <v>84</v>
      </c>
      <c r="W126" s="14" t="s">
        <v>213</v>
      </c>
      <c r="X126" s="14"/>
    </row>
    <row r="127" customFormat="false" ht="90" hidden="false" customHeight="true" outlineLevel="0" collapsed="false">
      <c r="A127" s="13" t="s">
        <v>907</v>
      </c>
      <c r="B127" s="14" t="s">
        <v>36</v>
      </c>
      <c r="C127" s="14" t="s">
        <v>27</v>
      </c>
      <c r="D127" s="14" t="s">
        <v>908</v>
      </c>
      <c r="E127" s="14" t="s">
        <v>496</v>
      </c>
      <c r="F127" s="14" t="s">
        <v>497</v>
      </c>
      <c r="G127" s="14" t="s">
        <v>245</v>
      </c>
      <c r="H127" s="15" t="n">
        <v>2</v>
      </c>
      <c r="I127" s="15" t="n">
        <v>1400</v>
      </c>
      <c r="J127" s="15" t="n">
        <v>40</v>
      </c>
      <c r="K127" s="15" t="n">
        <v>40</v>
      </c>
      <c r="L127" s="15" t="n">
        <v>8300</v>
      </c>
      <c r="M127" s="15" t="n">
        <v>1600</v>
      </c>
      <c r="N127" s="15" t="n">
        <v>2750</v>
      </c>
      <c r="O127" s="15" t="n">
        <v>0</v>
      </c>
      <c r="P127" s="14" t="s">
        <v>90</v>
      </c>
      <c r="Q127" s="15" t="s">
        <v>498</v>
      </c>
      <c r="R127" s="14" t="s">
        <v>196</v>
      </c>
      <c r="S127" s="14" t="s">
        <v>909</v>
      </c>
      <c r="T127" s="14" t="s">
        <v>910</v>
      </c>
      <c r="U127" s="14" t="s">
        <v>911</v>
      </c>
      <c r="V127" s="14" t="s">
        <v>84</v>
      </c>
      <c r="W127" s="14" t="s">
        <v>266</v>
      </c>
      <c r="X127" s="14"/>
    </row>
    <row r="128" customFormat="false" ht="90" hidden="false" customHeight="true" outlineLevel="0" collapsed="false">
      <c r="A128" s="13" t="s">
        <v>912</v>
      </c>
      <c r="B128" s="14" t="s">
        <v>36</v>
      </c>
      <c r="C128" s="14" t="s">
        <v>27</v>
      </c>
      <c r="D128" s="14" t="s">
        <v>913</v>
      </c>
      <c r="E128" s="14" t="s">
        <v>504</v>
      </c>
      <c r="F128" s="14" t="s">
        <v>505</v>
      </c>
      <c r="G128" s="14" t="s">
        <v>245</v>
      </c>
      <c r="H128" s="15" t="n">
        <v>2</v>
      </c>
      <c r="I128" s="15" t="n">
        <v>260</v>
      </c>
      <c r="J128" s="15" t="n">
        <v>260</v>
      </c>
      <c r="K128" s="15" t="n">
        <v>350</v>
      </c>
      <c r="L128" s="15" t="n">
        <v>8158</v>
      </c>
      <c r="M128" s="15" t="n">
        <v>555</v>
      </c>
      <c r="N128" s="15" t="n">
        <v>2750</v>
      </c>
      <c r="O128" s="15" t="n">
        <v>0</v>
      </c>
      <c r="P128" s="14" t="s">
        <v>90</v>
      </c>
      <c r="Q128" s="15" t="s">
        <v>506</v>
      </c>
      <c r="R128" s="14"/>
      <c r="S128" s="14" t="s">
        <v>914</v>
      </c>
      <c r="T128" s="14" t="s">
        <v>509</v>
      </c>
      <c r="U128" s="14" t="s">
        <v>915</v>
      </c>
      <c r="V128" s="14" t="s">
        <v>84</v>
      </c>
      <c r="W128" s="14" t="s">
        <v>266</v>
      </c>
      <c r="X128" s="14"/>
    </row>
    <row r="129" customFormat="false" ht="90" hidden="false" customHeight="true" outlineLevel="0" collapsed="false">
      <c r="A129" s="13" t="s">
        <v>916</v>
      </c>
      <c r="B129" s="14" t="s">
        <v>36</v>
      </c>
      <c r="C129" s="14" t="s">
        <v>27</v>
      </c>
      <c r="D129" s="14" t="s">
        <v>512</v>
      </c>
      <c r="E129" s="14" t="s">
        <v>359</v>
      </c>
      <c r="F129" s="14" t="s">
        <v>360</v>
      </c>
      <c r="G129" s="14" t="s">
        <v>169</v>
      </c>
      <c r="H129" s="15" t="n">
        <v>1</v>
      </c>
      <c r="I129" s="15" t="n">
        <v>2021</v>
      </c>
      <c r="J129" s="15" t="n">
        <v>1869</v>
      </c>
      <c r="K129" s="15" t="n">
        <v>10</v>
      </c>
      <c r="L129" s="15" t="n">
        <v>9348</v>
      </c>
      <c r="M129" s="15" t="n">
        <v>1320</v>
      </c>
      <c r="N129" s="15" t="s">
        <v>170</v>
      </c>
      <c r="O129" s="15" t="n">
        <v>0</v>
      </c>
      <c r="P129" s="14" t="s">
        <v>90</v>
      </c>
      <c r="Q129" s="15" t="s">
        <v>361</v>
      </c>
      <c r="R129" s="14"/>
      <c r="S129" s="14" t="s">
        <v>917</v>
      </c>
      <c r="T129" s="14" t="s">
        <v>514</v>
      </c>
      <c r="U129" s="14" t="s">
        <v>918</v>
      </c>
      <c r="V129" s="14" t="s">
        <v>84</v>
      </c>
      <c r="W129" s="14" t="s">
        <v>266</v>
      </c>
      <c r="X129" s="14"/>
    </row>
    <row r="130" customFormat="false" ht="90" hidden="false" customHeight="true" outlineLevel="0" collapsed="false">
      <c r="A130" s="13" t="s">
        <v>919</v>
      </c>
      <c r="B130" s="14" t="s">
        <v>36</v>
      </c>
      <c r="C130" s="14" t="s">
        <v>27</v>
      </c>
      <c r="D130" s="14" t="s">
        <v>920</v>
      </c>
      <c r="E130" s="14" t="s">
        <v>523</v>
      </c>
      <c r="F130" s="14" t="s">
        <v>524</v>
      </c>
      <c r="G130" s="14" t="s">
        <v>245</v>
      </c>
      <c r="H130" s="15" t="n">
        <v>1</v>
      </c>
      <c r="I130" s="15" t="n">
        <v>1200</v>
      </c>
      <c r="J130" s="15" t="n">
        <v>1200</v>
      </c>
      <c r="K130" s="15" t="n">
        <v>400</v>
      </c>
      <c r="L130" s="15" t="n">
        <v>9348</v>
      </c>
      <c r="M130" s="15" t="n">
        <v>2900</v>
      </c>
      <c r="N130" s="15" t="n">
        <v>2750</v>
      </c>
      <c r="O130" s="15" t="n">
        <v>0</v>
      </c>
      <c r="P130" s="14" t="s">
        <v>90</v>
      </c>
      <c r="Q130" s="15" t="s">
        <v>525</v>
      </c>
      <c r="R130" s="14" t="s">
        <v>921</v>
      </c>
      <c r="S130" s="14" t="s">
        <v>922</v>
      </c>
      <c r="T130" s="14" t="s">
        <v>528</v>
      </c>
      <c r="U130" s="14" t="s">
        <v>923</v>
      </c>
      <c r="V130" s="14" t="s">
        <v>84</v>
      </c>
      <c r="W130" s="14" t="s">
        <v>266</v>
      </c>
      <c r="X130" s="14"/>
    </row>
    <row r="131" customFormat="false" ht="90" hidden="false" customHeight="true" outlineLevel="0" collapsed="false">
      <c r="A131" s="13" t="s">
        <v>924</v>
      </c>
      <c r="B131" s="14" t="s">
        <v>36</v>
      </c>
      <c r="C131" s="14" t="s">
        <v>27</v>
      </c>
      <c r="D131" s="14" t="s">
        <v>925</v>
      </c>
      <c r="E131" s="14" t="s">
        <v>350</v>
      </c>
      <c r="F131" s="14" t="s">
        <v>351</v>
      </c>
      <c r="G131" s="14" t="s">
        <v>158</v>
      </c>
      <c r="H131" s="15" t="n">
        <v>1</v>
      </c>
      <c r="I131" s="15" t="n">
        <v>995</v>
      </c>
      <c r="J131" s="15" t="n">
        <v>40</v>
      </c>
      <c r="K131" s="15" t="n">
        <v>2700</v>
      </c>
      <c r="L131" s="15" t="n">
        <v>7260</v>
      </c>
      <c r="M131" s="15" t="n">
        <v>250</v>
      </c>
      <c r="N131" s="15" t="n">
        <v>0</v>
      </c>
      <c r="O131" s="15" t="n">
        <v>0</v>
      </c>
      <c r="P131" s="14" t="s">
        <v>183</v>
      </c>
      <c r="Q131" s="15" t="s">
        <v>532</v>
      </c>
      <c r="R131" s="14" t="s">
        <v>353</v>
      </c>
      <c r="S131" s="14" t="s">
        <v>926</v>
      </c>
      <c r="T131" s="14" t="s">
        <v>927</v>
      </c>
      <c r="U131" s="14" t="s">
        <v>928</v>
      </c>
      <c r="V131" s="14" t="s">
        <v>114</v>
      </c>
      <c r="W131" s="14" t="s">
        <v>266</v>
      </c>
      <c r="X131" s="14"/>
    </row>
    <row r="132" customFormat="false" ht="90" hidden="false" customHeight="true" outlineLevel="0" collapsed="false">
      <c r="A132" s="13" t="s">
        <v>929</v>
      </c>
      <c r="B132" s="14" t="s">
        <v>36</v>
      </c>
      <c r="C132" s="14" t="s">
        <v>27</v>
      </c>
      <c r="D132" s="14" t="s">
        <v>537</v>
      </c>
      <c r="E132" s="14" t="s">
        <v>293</v>
      </c>
      <c r="F132" s="14" t="s">
        <v>294</v>
      </c>
      <c r="G132" s="14" t="s">
        <v>77</v>
      </c>
      <c r="H132" s="15" t="n">
        <v>1</v>
      </c>
      <c r="I132" s="15" t="n">
        <v>3000</v>
      </c>
      <c r="J132" s="15" t="n">
        <v>2400</v>
      </c>
      <c r="K132" s="15" t="n">
        <v>12</v>
      </c>
      <c r="L132" s="15" t="n">
        <v>9348</v>
      </c>
      <c r="M132" s="15" t="n">
        <v>2400</v>
      </c>
      <c r="N132" s="15" t="n">
        <v>0</v>
      </c>
      <c r="O132" s="15" t="n">
        <v>0</v>
      </c>
      <c r="P132" s="14" t="s">
        <v>90</v>
      </c>
      <c r="Q132" s="15" t="s">
        <v>538</v>
      </c>
      <c r="R132" s="14" t="s">
        <v>296</v>
      </c>
      <c r="S132" s="14" t="s">
        <v>539</v>
      </c>
      <c r="T132" s="14" t="s">
        <v>540</v>
      </c>
      <c r="U132" s="14" t="s">
        <v>930</v>
      </c>
      <c r="V132" s="14" t="s">
        <v>84</v>
      </c>
      <c r="W132" s="14" t="s">
        <v>266</v>
      </c>
      <c r="X132" s="14"/>
    </row>
    <row r="133" customFormat="false" ht="90" hidden="false" customHeight="true" outlineLevel="0" collapsed="false">
      <c r="A133" s="13" t="s">
        <v>931</v>
      </c>
      <c r="B133" s="14" t="s">
        <v>36</v>
      </c>
      <c r="C133" s="14" t="s">
        <v>27</v>
      </c>
      <c r="D133" s="14" t="s">
        <v>932</v>
      </c>
      <c r="E133" s="14" t="s">
        <v>302</v>
      </c>
      <c r="F133" s="14" t="s">
        <v>303</v>
      </c>
      <c r="G133" s="14" t="s">
        <v>169</v>
      </c>
      <c r="H133" s="15" t="n">
        <v>1</v>
      </c>
      <c r="I133" s="15" t="n">
        <v>250</v>
      </c>
      <c r="J133" s="15" t="n">
        <v>250</v>
      </c>
      <c r="K133" s="15" t="n">
        <v>150</v>
      </c>
      <c r="L133" s="15" t="n">
        <v>9348</v>
      </c>
      <c r="M133" s="15" t="n">
        <v>800</v>
      </c>
      <c r="N133" s="15" t="s">
        <v>170</v>
      </c>
      <c r="O133" s="15" t="n">
        <v>0</v>
      </c>
      <c r="P133" s="14" t="s">
        <v>90</v>
      </c>
      <c r="Q133" s="15" t="s">
        <v>933</v>
      </c>
      <c r="R133" s="14"/>
      <c r="S133" s="14" t="s">
        <v>934</v>
      </c>
      <c r="T133" s="14" t="s">
        <v>307</v>
      </c>
      <c r="U133" s="14" t="s">
        <v>935</v>
      </c>
      <c r="V133" s="14" t="s">
        <v>84</v>
      </c>
      <c r="W133" s="14" t="s">
        <v>266</v>
      </c>
      <c r="X133" s="14"/>
    </row>
    <row r="134" customFormat="false" ht="90" hidden="false" customHeight="true" outlineLevel="0" collapsed="false">
      <c r="A134" s="13" t="s">
        <v>936</v>
      </c>
      <c r="B134" s="14" t="s">
        <v>37</v>
      </c>
      <c r="C134" s="14" t="s">
        <v>24</v>
      </c>
      <c r="D134" s="14" t="s">
        <v>937</v>
      </c>
      <c r="E134" s="14" t="s">
        <v>550</v>
      </c>
      <c r="F134" s="14" t="s">
        <v>551</v>
      </c>
      <c r="G134" s="14" t="s">
        <v>77</v>
      </c>
      <c r="H134" s="15" t="n">
        <v>2</v>
      </c>
      <c r="I134" s="15" t="n">
        <v>2035</v>
      </c>
      <c r="J134" s="15" t="n">
        <v>600</v>
      </c>
      <c r="K134" s="15" t="n">
        <v>2700</v>
      </c>
      <c r="L134" s="15" t="n">
        <v>11942</v>
      </c>
      <c r="M134" s="15" t="n">
        <v>4000</v>
      </c>
      <c r="N134" s="15" t="n">
        <v>0</v>
      </c>
      <c r="O134" s="15" t="n">
        <v>0</v>
      </c>
      <c r="P134" s="14" t="s">
        <v>90</v>
      </c>
      <c r="Q134" s="15" t="s">
        <v>938</v>
      </c>
      <c r="R134" s="14" t="s">
        <v>184</v>
      </c>
      <c r="S134" s="14" t="s">
        <v>939</v>
      </c>
      <c r="T134" s="14" t="s">
        <v>940</v>
      </c>
      <c r="U134" s="14" t="s">
        <v>941</v>
      </c>
      <c r="V134" s="14" t="s">
        <v>84</v>
      </c>
      <c r="W134" s="14" t="s">
        <v>85</v>
      </c>
      <c r="X134" s="14"/>
    </row>
    <row r="135" customFormat="false" ht="90" hidden="false" customHeight="true" outlineLevel="0" collapsed="false">
      <c r="A135" s="13" t="s">
        <v>942</v>
      </c>
      <c r="B135" s="14" t="s">
        <v>37</v>
      </c>
      <c r="C135" s="14" t="s">
        <v>24</v>
      </c>
      <c r="D135" s="14" t="s">
        <v>943</v>
      </c>
      <c r="E135" s="14" t="s">
        <v>567</v>
      </c>
      <c r="F135" s="14" t="s">
        <v>568</v>
      </c>
      <c r="G135" s="14" t="s">
        <v>169</v>
      </c>
      <c r="H135" s="15" t="n">
        <v>1</v>
      </c>
      <c r="I135" s="15" t="n">
        <v>250</v>
      </c>
      <c r="J135" s="15" t="n">
        <v>250</v>
      </c>
      <c r="K135" s="15" t="n">
        <v>0</v>
      </c>
      <c r="L135" s="15" t="n">
        <v>11900</v>
      </c>
      <c r="M135" s="15" t="n">
        <v>4000</v>
      </c>
      <c r="N135" s="15" t="s">
        <v>170</v>
      </c>
      <c r="O135" s="15" t="n">
        <v>0</v>
      </c>
      <c r="P135" s="14" t="s">
        <v>90</v>
      </c>
      <c r="Q135" s="15" t="s">
        <v>944</v>
      </c>
      <c r="R135" s="14" t="s">
        <v>229</v>
      </c>
      <c r="S135" s="14" t="s">
        <v>945</v>
      </c>
      <c r="T135" s="14" t="s">
        <v>572</v>
      </c>
      <c r="U135" s="14" t="s">
        <v>946</v>
      </c>
      <c r="V135" s="14" t="s">
        <v>114</v>
      </c>
      <c r="W135" s="14" t="s">
        <v>85</v>
      </c>
      <c r="X135" s="14"/>
    </row>
    <row r="136" customFormat="false" ht="90" hidden="false" customHeight="true" outlineLevel="0" collapsed="false">
      <c r="A136" s="13" t="s">
        <v>947</v>
      </c>
      <c r="B136" s="14" t="s">
        <v>37</v>
      </c>
      <c r="C136" s="14" t="s">
        <v>24</v>
      </c>
      <c r="D136" s="14" t="s">
        <v>948</v>
      </c>
      <c r="E136" s="14" t="s">
        <v>567</v>
      </c>
      <c r="F136" s="14" t="s">
        <v>568</v>
      </c>
      <c r="G136" s="14" t="s">
        <v>169</v>
      </c>
      <c r="H136" s="15" t="n">
        <v>1</v>
      </c>
      <c r="I136" s="15" t="n">
        <v>250</v>
      </c>
      <c r="J136" s="15" t="n">
        <v>250</v>
      </c>
      <c r="K136" s="15" t="n">
        <v>0</v>
      </c>
      <c r="L136" s="15" t="n">
        <v>12660</v>
      </c>
      <c r="M136" s="15" t="n">
        <v>3200</v>
      </c>
      <c r="N136" s="15" t="s">
        <v>170</v>
      </c>
      <c r="O136" s="15" t="n">
        <v>0</v>
      </c>
      <c r="P136" s="14" t="s">
        <v>90</v>
      </c>
      <c r="Q136" s="15" t="s">
        <v>569</v>
      </c>
      <c r="R136" s="14" t="s">
        <v>570</v>
      </c>
      <c r="S136" s="14" t="s">
        <v>949</v>
      </c>
      <c r="T136" s="14" t="s">
        <v>572</v>
      </c>
      <c r="U136" s="14" t="s">
        <v>950</v>
      </c>
      <c r="V136" s="14" t="s">
        <v>114</v>
      </c>
      <c r="W136" s="14" t="s">
        <v>85</v>
      </c>
      <c r="X136" s="14"/>
    </row>
    <row r="137" customFormat="false" ht="90" hidden="false" customHeight="true" outlineLevel="0" collapsed="false">
      <c r="A137" s="13" t="s">
        <v>951</v>
      </c>
      <c r="B137" s="14" t="s">
        <v>37</v>
      </c>
      <c r="C137" s="14" t="s">
        <v>24</v>
      </c>
      <c r="D137" s="14" t="s">
        <v>952</v>
      </c>
      <c r="E137" s="14" t="s">
        <v>567</v>
      </c>
      <c r="F137" s="14" t="s">
        <v>568</v>
      </c>
      <c r="G137" s="14" t="s">
        <v>169</v>
      </c>
      <c r="H137" s="15" t="n">
        <v>1</v>
      </c>
      <c r="I137" s="15" t="n">
        <v>250</v>
      </c>
      <c r="J137" s="15" t="n">
        <v>250</v>
      </c>
      <c r="K137" s="15" t="n">
        <v>0</v>
      </c>
      <c r="L137" s="15" t="n">
        <v>12660</v>
      </c>
      <c r="M137" s="15" t="n">
        <v>2900</v>
      </c>
      <c r="N137" s="15" t="s">
        <v>170</v>
      </c>
      <c r="O137" s="15" t="n">
        <v>0</v>
      </c>
      <c r="P137" s="14" t="s">
        <v>90</v>
      </c>
      <c r="Q137" s="15" t="s">
        <v>953</v>
      </c>
      <c r="R137" s="14"/>
      <c r="S137" s="14" t="s">
        <v>954</v>
      </c>
      <c r="T137" s="14" t="s">
        <v>572</v>
      </c>
      <c r="U137" s="14" t="s">
        <v>955</v>
      </c>
      <c r="V137" s="14" t="s">
        <v>84</v>
      </c>
      <c r="W137" s="14" t="s">
        <v>85</v>
      </c>
      <c r="X137" s="14"/>
    </row>
    <row r="138" customFormat="false" ht="90" hidden="false" customHeight="true" outlineLevel="0" collapsed="false">
      <c r="A138" s="13" t="s">
        <v>956</v>
      </c>
      <c r="B138" s="14" t="s">
        <v>37</v>
      </c>
      <c r="C138" s="14" t="s">
        <v>24</v>
      </c>
      <c r="D138" s="14" t="s">
        <v>598</v>
      </c>
      <c r="E138" s="14" t="s">
        <v>138</v>
      </c>
      <c r="F138" s="14" t="s">
        <v>139</v>
      </c>
      <c r="G138" s="14" t="s">
        <v>77</v>
      </c>
      <c r="H138" s="15" t="n">
        <v>1</v>
      </c>
      <c r="I138" s="15" t="n">
        <v>400</v>
      </c>
      <c r="J138" s="15" t="n">
        <v>400</v>
      </c>
      <c r="K138" s="15" t="n">
        <v>420</v>
      </c>
      <c r="L138" s="15" t="n">
        <v>11500</v>
      </c>
      <c r="M138" s="15" t="n">
        <v>3050</v>
      </c>
      <c r="N138" s="15" t="n">
        <v>0</v>
      </c>
      <c r="O138" s="15" t="n">
        <v>0</v>
      </c>
      <c r="P138" s="14" t="s">
        <v>90</v>
      </c>
      <c r="Q138" s="15" t="s">
        <v>140</v>
      </c>
      <c r="R138" s="14" t="s">
        <v>80</v>
      </c>
      <c r="S138" s="14" t="s">
        <v>599</v>
      </c>
      <c r="T138" s="14" t="s">
        <v>600</v>
      </c>
      <c r="U138" s="14" t="s">
        <v>957</v>
      </c>
      <c r="V138" s="14" t="s">
        <v>84</v>
      </c>
      <c r="W138" s="14" t="s">
        <v>85</v>
      </c>
      <c r="X138" s="14"/>
    </row>
    <row r="139" customFormat="false" ht="90" hidden="false" customHeight="true" outlineLevel="0" collapsed="false">
      <c r="A139" s="13" t="s">
        <v>958</v>
      </c>
      <c r="B139" s="14" t="s">
        <v>37</v>
      </c>
      <c r="C139" s="14" t="s">
        <v>25</v>
      </c>
      <c r="D139" s="14" t="s">
        <v>959</v>
      </c>
      <c r="E139" s="14" t="s">
        <v>167</v>
      </c>
      <c r="F139" s="14" t="s">
        <v>168</v>
      </c>
      <c r="G139" s="14" t="s">
        <v>169</v>
      </c>
      <c r="H139" s="15" t="n">
        <v>1</v>
      </c>
      <c r="I139" s="15" t="n">
        <v>250</v>
      </c>
      <c r="J139" s="15" t="n">
        <v>250</v>
      </c>
      <c r="K139" s="15" t="n">
        <v>150</v>
      </c>
      <c r="L139" s="15" t="n">
        <v>11100</v>
      </c>
      <c r="M139" s="15" t="n">
        <v>3600</v>
      </c>
      <c r="N139" s="15" t="s">
        <v>170</v>
      </c>
      <c r="O139" s="15" t="n">
        <v>0</v>
      </c>
      <c r="P139" s="14" t="s">
        <v>90</v>
      </c>
      <c r="Q139" s="15" t="s">
        <v>960</v>
      </c>
      <c r="R139" s="14" t="s">
        <v>196</v>
      </c>
      <c r="S139" s="14" t="s">
        <v>961</v>
      </c>
      <c r="T139" s="14" t="s">
        <v>174</v>
      </c>
      <c r="U139" s="14" t="s">
        <v>962</v>
      </c>
      <c r="V139" s="14" t="s">
        <v>84</v>
      </c>
      <c r="W139" s="14" t="s">
        <v>164</v>
      </c>
      <c r="X139" s="14"/>
    </row>
    <row r="140" customFormat="false" ht="90" hidden="false" customHeight="true" outlineLevel="0" collapsed="false">
      <c r="A140" s="13" t="s">
        <v>963</v>
      </c>
      <c r="B140" s="14" t="s">
        <v>37</v>
      </c>
      <c r="C140" s="14" t="s">
        <v>25</v>
      </c>
      <c r="D140" s="14" t="s">
        <v>964</v>
      </c>
      <c r="E140" s="14" t="s">
        <v>567</v>
      </c>
      <c r="F140" s="14" t="s">
        <v>568</v>
      </c>
      <c r="G140" s="14" t="s">
        <v>169</v>
      </c>
      <c r="H140" s="15" t="n">
        <v>1</v>
      </c>
      <c r="I140" s="15" t="n">
        <v>250</v>
      </c>
      <c r="J140" s="15" t="n">
        <v>250</v>
      </c>
      <c r="K140" s="15" t="n">
        <v>0</v>
      </c>
      <c r="L140" s="15" t="n">
        <v>12300</v>
      </c>
      <c r="M140" s="15" t="n">
        <v>4150</v>
      </c>
      <c r="N140" s="15" t="s">
        <v>170</v>
      </c>
      <c r="O140" s="15" t="n">
        <v>0</v>
      </c>
      <c r="P140" s="14" t="s">
        <v>90</v>
      </c>
      <c r="Q140" s="15" t="s">
        <v>594</v>
      </c>
      <c r="R140" s="14"/>
      <c r="S140" s="14" t="s">
        <v>965</v>
      </c>
      <c r="T140" s="14" t="s">
        <v>572</v>
      </c>
      <c r="U140" s="14" t="s">
        <v>966</v>
      </c>
      <c r="V140" s="14" t="s">
        <v>84</v>
      </c>
      <c r="W140" s="14" t="s">
        <v>164</v>
      </c>
      <c r="X140" s="14"/>
    </row>
    <row r="141" customFormat="false" ht="90" hidden="false" customHeight="true" outlineLevel="0" collapsed="false">
      <c r="A141" s="13" t="s">
        <v>967</v>
      </c>
      <c r="B141" s="14" t="s">
        <v>37</v>
      </c>
      <c r="C141" s="14" t="s">
        <v>25</v>
      </c>
      <c r="D141" s="14" t="s">
        <v>623</v>
      </c>
      <c r="E141" s="14" t="s">
        <v>156</v>
      </c>
      <c r="F141" s="14" t="s">
        <v>157</v>
      </c>
      <c r="G141" s="14" t="s">
        <v>158</v>
      </c>
      <c r="H141" s="15" t="n">
        <v>1</v>
      </c>
      <c r="I141" s="15" t="n">
        <v>400</v>
      </c>
      <c r="J141" s="15" t="n">
        <v>40</v>
      </c>
      <c r="K141" s="15" t="n">
        <v>500</v>
      </c>
      <c r="L141" s="15" t="n">
        <v>12150</v>
      </c>
      <c r="M141" s="15" t="n">
        <v>2652</v>
      </c>
      <c r="N141" s="15" t="n">
        <v>1250</v>
      </c>
      <c r="O141" s="15" t="n">
        <v>0</v>
      </c>
      <c r="P141" s="14" t="s">
        <v>183</v>
      </c>
      <c r="Q141" s="15" t="s">
        <v>160</v>
      </c>
      <c r="R141" s="14"/>
      <c r="S141" s="14" t="s">
        <v>968</v>
      </c>
      <c r="T141" s="14" t="s">
        <v>969</v>
      </c>
      <c r="U141" s="14" t="s">
        <v>970</v>
      </c>
      <c r="V141" s="14" t="s">
        <v>84</v>
      </c>
      <c r="W141" s="14" t="s">
        <v>164</v>
      </c>
      <c r="X141" s="14"/>
    </row>
    <row r="142" customFormat="false" ht="90" hidden="false" customHeight="true" outlineLevel="0" collapsed="false">
      <c r="A142" s="13" t="s">
        <v>971</v>
      </c>
      <c r="B142" s="14" t="s">
        <v>37</v>
      </c>
      <c r="C142" s="14" t="s">
        <v>26</v>
      </c>
      <c r="D142" s="14" t="s">
        <v>628</v>
      </c>
      <c r="E142" s="14" t="s">
        <v>629</v>
      </c>
      <c r="F142" s="14" t="s">
        <v>630</v>
      </c>
      <c r="G142" s="14" t="s">
        <v>218</v>
      </c>
      <c r="H142" s="15" t="n">
        <v>1</v>
      </c>
      <c r="I142" s="15" t="n">
        <v>2080</v>
      </c>
      <c r="J142" s="15" t="n">
        <v>1713</v>
      </c>
      <c r="K142" s="15" t="n">
        <v>0</v>
      </c>
      <c r="L142" s="15" t="n">
        <v>11965</v>
      </c>
      <c r="M142" s="15" t="n">
        <v>3488</v>
      </c>
      <c r="N142" s="15" t="n">
        <v>0</v>
      </c>
      <c r="O142" s="15" t="n">
        <v>0</v>
      </c>
      <c r="P142" s="14" t="s">
        <v>90</v>
      </c>
      <c r="Q142" s="15" t="s">
        <v>631</v>
      </c>
      <c r="R142" s="14" t="s">
        <v>184</v>
      </c>
      <c r="S142" s="14" t="s">
        <v>972</v>
      </c>
      <c r="T142" s="14" t="s">
        <v>973</v>
      </c>
      <c r="U142" s="14" t="s">
        <v>974</v>
      </c>
      <c r="V142" s="14" t="s">
        <v>84</v>
      </c>
      <c r="W142" s="14" t="s">
        <v>213</v>
      </c>
      <c r="X142" s="14"/>
    </row>
    <row r="143" customFormat="false" ht="90" hidden="false" customHeight="true" outlineLevel="0" collapsed="false">
      <c r="A143" s="13" t="s">
        <v>975</v>
      </c>
      <c r="B143" s="14" t="s">
        <v>37</v>
      </c>
      <c r="C143" s="14" t="s">
        <v>26</v>
      </c>
      <c r="D143" s="14" t="s">
        <v>636</v>
      </c>
      <c r="E143" s="14" t="s">
        <v>567</v>
      </c>
      <c r="F143" s="14" t="s">
        <v>568</v>
      </c>
      <c r="G143" s="14" t="s">
        <v>169</v>
      </c>
      <c r="H143" s="15" t="n">
        <v>1</v>
      </c>
      <c r="I143" s="15" t="n">
        <v>250</v>
      </c>
      <c r="J143" s="15" t="n">
        <v>250</v>
      </c>
      <c r="K143" s="15" t="n">
        <v>0</v>
      </c>
      <c r="L143" s="15" t="n">
        <v>12360</v>
      </c>
      <c r="M143" s="15" t="n">
        <v>3350</v>
      </c>
      <c r="N143" s="15" t="s">
        <v>170</v>
      </c>
      <c r="O143" s="15" t="n">
        <v>0</v>
      </c>
      <c r="P143" s="14" t="s">
        <v>90</v>
      </c>
      <c r="Q143" s="15" t="s">
        <v>637</v>
      </c>
      <c r="R143" s="14" t="s">
        <v>638</v>
      </c>
      <c r="S143" s="14" t="s">
        <v>639</v>
      </c>
      <c r="T143" s="14" t="s">
        <v>572</v>
      </c>
      <c r="U143" s="14" t="s">
        <v>976</v>
      </c>
      <c r="V143" s="14" t="s">
        <v>84</v>
      </c>
      <c r="W143" s="14" t="s">
        <v>213</v>
      </c>
      <c r="X143" s="14"/>
    </row>
    <row r="144" customFormat="false" ht="90" hidden="false" customHeight="true" outlineLevel="0" collapsed="false">
      <c r="A144" s="13" t="s">
        <v>977</v>
      </c>
      <c r="B144" s="14" t="s">
        <v>37</v>
      </c>
      <c r="C144" s="14" t="s">
        <v>26</v>
      </c>
      <c r="D144" s="14" t="s">
        <v>978</v>
      </c>
      <c r="E144" s="14" t="s">
        <v>216</v>
      </c>
      <c r="F144" s="14" t="s">
        <v>217</v>
      </c>
      <c r="G144" s="14" t="s">
        <v>218</v>
      </c>
      <c r="H144" s="15" t="n">
        <v>1</v>
      </c>
      <c r="I144" s="15" t="n">
        <v>2080</v>
      </c>
      <c r="J144" s="15" t="n">
        <v>1713</v>
      </c>
      <c r="K144" s="15" t="n">
        <v>15</v>
      </c>
      <c r="L144" s="15" t="n">
        <v>11965</v>
      </c>
      <c r="M144" s="15" t="n">
        <v>3488</v>
      </c>
      <c r="N144" s="15" t="n">
        <v>0</v>
      </c>
      <c r="O144" s="15" t="n">
        <v>0</v>
      </c>
      <c r="P144" s="14" t="s">
        <v>90</v>
      </c>
      <c r="Q144" s="15" t="s">
        <v>979</v>
      </c>
      <c r="R144" s="14" t="s">
        <v>980</v>
      </c>
      <c r="S144" s="14" t="s">
        <v>981</v>
      </c>
      <c r="T144" s="14" t="s">
        <v>982</v>
      </c>
      <c r="U144" s="14" t="s">
        <v>983</v>
      </c>
      <c r="V144" s="14" t="s">
        <v>84</v>
      </c>
      <c r="W144" s="14" t="s">
        <v>213</v>
      </c>
      <c r="X144" s="14"/>
    </row>
    <row r="145" customFormat="false" ht="90" hidden="false" customHeight="true" outlineLevel="0" collapsed="false">
      <c r="A145" s="13" t="s">
        <v>984</v>
      </c>
      <c r="B145" s="14" t="s">
        <v>37</v>
      </c>
      <c r="C145" s="14" t="s">
        <v>27</v>
      </c>
      <c r="D145" s="14" t="s">
        <v>985</v>
      </c>
      <c r="E145" s="14" t="s">
        <v>359</v>
      </c>
      <c r="F145" s="14" t="s">
        <v>360</v>
      </c>
      <c r="G145" s="14" t="s">
        <v>169</v>
      </c>
      <c r="H145" s="15" t="n">
        <v>1</v>
      </c>
      <c r="I145" s="15" t="n">
        <v>1900</v>
      </c>
      <c r="J145" s="15" t="n">
        <v>40</v>
      </c>
      <c r="K145" s="15" t="n">
        <v>10</v>
      </c>
      <c r="L145" s="15" t="n">
        <v>11950</v>
      </c>
      <c r="M145" s="15" t="n">
        <v>3690</v>
      </c>
      <c r="N145" s="15" t="s">
        <v>170</v>
      </c>
      <c r="O145" s="15" t="n">
        <v>0</v>
      </c>
      <c r="P145" s="14" t="s">
        <v>90</v>
      </c>
      <c r="Q145" s="15" t="s">
        <v>361</v>
      </c>
      <c r="R145" s="14"/>
      <c r="S145" s="14" t="s">
        <v>986</v>
      </c>
      <c r="T145" s="14" t="s">
        <v>987</v>
      </c>
      <c r="U145" s="14" t="s">
        <v>988</v>
      </c>
      <c r="V145" s="14" t="s">
        <v>84</v>
      </c>
      <c r="W145" s="14" t="s">
        <v>266</v>
      </c>
      <c r="X145" s="14"/>
    </row>
    <row r="146" customFormat="false" ht="90" hidden="false" customHeight="true" outlineLevel="0" collapsed="false">
      <c r="A146" s="13" t="s">
        <v>989</v>
      </c>
      <c r="B146" s="14" t="s">
        <v>37</v>
      </c>
      <c r="C146" s="14" t="s">
        <v>27</v>
      </c>
      <c r="D146" s="14" t="s">
        <v>990</v>
      </c>
      <c r="E146" s="14" t="s">
        <v>496</v>
      </c>
      <c r="F146" s="14" t="s">
        <v>497</v>
      </c>
      <c r="G146" s="14" t="s">
        <v>245</v>
      </c>
      <c r="H146" s="15" t="n">
        <v>1</v>
      </c>
      <c r="I146" s="15" t="n">
        <v>1300</v>
      </c>
      <c r="J146" s="15" t="n">
        <v>40</v>
      </c>
      <c r="K146" s="15" t="n">
        <v>40</v>
      </c>
      <c r="L146" s="15" t="n">
        <v>11650</v>
      </c>
      <c r="M146" s="15" t="n">
        <v>3200</v>
      </c>
      <c r="N146" s="15" t="n">
        <v>2750</v>
      </c>
      <c r="O146" s="15" t="n">
        <v>0</v>
      </c>
      <c r="P146" s="14" t="s">
        <v>90</v>
      </c>
      <c r="Q146" s="15" t="s">
        <v>498</v>
      </c>
      <c r="R146" s="14" t="s">
        <v>196</v>
      </c>
      <c r="S146" s="14" t="s">
        <v>991</v>
      </c>
      <c r="T146" s="14" t="s">
        <v>992</v>
      </c>
      <c r="U146" s="14" t="s">
        <v>993</v>
      </c>
      <c r="V146" s="14" t="s">
        <v>84</v>
      </c>
      <c r="W146" s="14" t="s">
        <v>266</v>
      </c>
      <c r="X146" s="14"/>
    </row>
    <row r="147" customFormat="false" ht="90" hidden="false" customHeight="true" outlineLevel="0" collapsed="false">
      <c r="A147" s="13" t="s">
        <v>994</v>
      </c>
      <c r="B147" s="14" t="s">
        <v>37</v>
      </c>
      <c r="C147" s="14" t="s">
        <v>27</v>
      </c>
      <c r="D147" s="14" t="s">
        <v>995</v>
      </c>
      <c r="E147" s="14" t="s">
        <v>293</v>
      </c>
      <c r="F147" s="14" t="s">
        <v>294</v>
      </c>
      <c r="G147" s="14" t="s">
        <v>77</v>
      </c>
      <c r="H147" s="15" t="n">
        <v>1</v>
      </c>
      <c r="I147" s="15" t="n">
        <v>1250</v>
      </c>
      <c r="J147" s="15" t="n">
        <v>700</v>
      </c>
      <c r="K147" s="15" t="n">
        <v>12</v>
      </c>
      <c r="L147" s="15" t="n">
        <v>11675</v>
      </c>
      <c r="M147" s="15" t="n">
        <v>3150</v>
      </c>
      <c r="N147" s="15" t="n">
        <v>0</v>
      </c>
      <c r="O147" s="15" t="n">
        <v>0</v>
      </c>
      <c r="P147" s="14" t="s">
        <v>90</v>
      </c>
      <c r="Q147" s="15" t="s">
        <v>538</v>
      </c>
      <c r="R147" s="14" t="s">
        <v>296</v>
      </c>
      <c r="S147" s="14" t="s">
        <v>996</v>
      </c>
      <c r="T147" s="14" t="s">
        <v>997</v>
      </c>
      <c r="U147" s="14" t="s">
        <v>998</v>
      </c>
      <c r="V147" s="14" t="s">
        <v>84</v>
      </c>
      <c r="W147" s="14" t="s">
        <v>266</v>
      </c>
      <c r="X147" s="14"/>
    </row>
    <row r="148" customFormat="false" ht="90" hidden="false" customHeight="true" outlineLevel="0" collapsed="false">
      <c r="A148" s="13" t="s">
        <v>999</v>
      </c>
      <c r="B148" s="14" t="s">
        <v>38</v>
      </c>
      <c r="C148" s="14" t="s">
        <v>24</v>
      </c>
      <c r="D148" s="14" t="s">
        <v>1000</v>
      </c>
      <c r="E148" s="14" t="s">
        <v>675</v>
      </c>
      <c r="F148" s="14" t="s">
        <v>676</v>
      </c>
      <c r="G148" s="14" t="s">
        <v>158</v>
      </c>
      <c r="H148" s="15" t="n">
        <v>1</v>
      </c>
      <c r="I148" s="15" t="n">
        <v>900</v>
      </c>
      <c r="J148" s="15" t="n">
        <v>505</v>
      </c>
      <c r="K148" s="15" t="n">
        <v>850</v>
      </c>
      <c r="L148" s="15" t="n">
        <v>12708</v>
      </c>
      <c r="M148" s="15" t="n">
        <v>850</v>
      </c>
      <c r="N148" s="15" t="n">
        <v>0</v>
      </c>
      <c r="O148" s="15" t="n">
        <v>90</v>
      </c>
      <c r="P148" s="14" t="s">
        <v>90</v>
      </c>
      <c r="Q148" s="15" t="s">
        <v>1001</v>
      </c>
      <c r="R148" s="14" t="s">
        <v>678</v>
      </c>
      <c r="S148" s="14" t="s">
        <v>1002</v>
      </c>
      <c r="T148" s="14" t="s">
        <v>1003</v>
      </c>
      <c r="U148" s="14" t="s">
        <v>1004</v>
      </c>
      <c r="V148" s="14" t="s">
        <v>84</v>
      </c>
      <c r="W148" s="14" t="s">
        <v>85</v>
      </c>
      <c r="X148" s="14"/>
    </row>
    <row r="149" customFormat="false" ht="90" hidden="false" customHeight="true" outlineLevel="0" collapsed="false">
      <c r="A149" s="13" t="s">
        <v>1005</v>
      </c>
      <c r="B149" s="14" t="s">
        <v>38</v>
      </c>
      <c r="C149" s="14" t="s">
        <v>24</v>
      </c>
      <c r="D149" s="14" t="s">
        <v>1006</v>
      </c>
      <c r="E149" s="14" t="s">
        <v>684</v>
      </c>
      <c r="F149" s="14" t="s">
        <v>685</v>
      </c>
      <c r="G149" s="14" t="s">
        <v>158</v>
      </c>
      <c r="H149" s="15" t="n">
        <v>1</v>
      </c>
      <c r="I149" s="15" t="n">
        <v>495</v>
      </c>
      <c r="J149" s="15" t="n">
        <v>380</v>
      </c>
      <c r="K149" s="15" t="n">
        <v>400</v>
      </c>
      <c r="L149" s="15" t="n">
        <v>12712</v>
      </c>
      <c r="M149" s="15" t="n">
        <v>1990</v>
      </c>
      <c r="N149" s="15" t="n">
        <v>0</v>
      </c>
      <c r="O149" s="15" t="n">
        <v>0</v>
      </c>
      <c r="P149" s="14" t="s">
        <v>90</v>
      </c>
      <c r="Q149" s="15" t="s">
        <v>686</v>
      </c>
      <c r="R149" s="14" t="s">
        <v>1007</v>
      </c>
      <c r="S149" s="14" t="s">
        <v>1008</v>
      </c>
      <c r="T149" s="14" t="s">
        <v>689</v>
      </c>
      <c r="U149" s="14" t="s">
        <v>1009</v>
      </c>
      <c r="V149" s="14" t="s">
        <v>84</v>
      </c>
      <c r="W149" s="14" t="s">
        <v>85</v>
      </c>
      <c r="X149" s="14"/>
    </row>
    <row r="150" customFormat="false" ht="90" hidden="false" customHeight="true" outlineLevel="0" collapsed="false">
      <c r="A150" s="13" t="s">
        <v>1010</v>
      </c>
      <c r="B150" s="14" t="s">
        <v>38</v>
      </c>
      <c r="C150" s="14" t="s">
        <v>24</v>
      </c>
      <c r="D150" s="14" t="s">
        <v>1011</v>
      </c>
      <c r="E150" s="14" t="s">
        <v>693</v>
      </c>
      <c r="F150" s="14" t="s">
        <v>694</v>
      </c>
      <c r="G150" s="14" t="s">
        <v>77</v>
      </c>
      <c r="H150" s="15" t="n">
        <v>1</v>
      </c>
      <c r="I150" s="15" t="n">
        <v>955</v>
      </c>
      <c r="J150" s="15" t="n">
        <v>855</v>
      </c>
      <c r="K150" s="15" t="n">
        <v>2100</v>
      </c>
      <c r="L150" s="15" t="n">
        <v>11472</v>
      </c>
      <c r="M150" s="15" t="n">
        <v>752</v>
      </c>
      <c r="N150" s="15" t="n">
        <v>0</v>
      </c>
      <c r="O150" s="15" t="n">
        <v>90</v>
      </c>
      <c r="P150" s="14" t="s">
        <v>90</v>
      </c>
      <c r="Q150" s="15" t="s">
        <v>695</v>
      </c>
      <c r="R150" s="14" t="s">
        <v>696</v>
      </c>
      <c r="S150" s="14" t="s">
        <v>1012</v>
      </c>
      <c r="T150" s="14" t="s">
        <v>1013</v>
      </c>
      <c r="U150" s="14" t="s">
        <v>1014</v>
      </c>
      <c r="V150" s="14" t="s">
        <v>114</v>
      </c>
      <c r="W150" s="14" t="s">
        <v>85</v>
      </c>
      <c r="X150" s="14"/>
    </row>
    <row r="151" customFormat="false" ht="90" hidden="false" customHeight="true" outlineLevel="0" collapsed="false">
      <c r="A151" s="13" t="s">
        <v>1015</v>
      </c>
      <c r="B151" s="14" t="s">
        <v>38</v>
      </c>
      <c r="C151" s="14" t="s">
        <v>24</v>
      </c>
      <c r="D151" s="14" t="s">
        <v>1016</v>
      </c>
      <c r="E151" s="14" t="s">
        <v>720</v>
      </c>
      <c r="F151" s="14" t="s">
        <v>721</v>
      </c>
      <c r="G151" s="14" t="s">
        <v>158</v>
      </c>
      <c r="H151" s="15" t="n">
        <v>1</v>
      </c>
      <c r="I151" s="15" t="n">
        <v>300</v>
      </c>
      <c r="J151" s="15" t="n">
        <v>40</v>
      </c>
      <c r="K151" s="15" t="n">
        <v>400</v>
      </c>
      <c r="L151" s="15" t="n">
        <v>11065</v>
      </c>
      <c r="M151" s="15" t="n">
        <v>850</v>
      </c>
      <c r="N151" s="15" t="n">
        <v>0</v>
      </c>
      <c r="O151" s="15" t="n">
        <v>270</v>
      </c>
      <c r="P151" s="14" t="s">
        <v>120</v>
      </c>
      <c r="Q151" s="15" t="s">
        <v>1017</v>
      </c>
      <c r="R151" s="14"/>
      <c r="S151" s="14" t="s">
        <v>1018</v>
      </c>
      <c r="T151" s="14" t="s">
        <v>743</v>
      </c>
      <c r="U151" s="14" t="s">
        <v>1019</v>
      </c>
      <c r="V151" s="14" t="s">
        <v>84</v>
      </c>
      <c r="W151" s="14" t="s">
        <v>85</v>
      </c>
      <c r="X151" s="14"/>
    </row>
    <row r="152" customFormat="false" ht="90" hidden="false" customHeight="true" outlineLevel="0" collapsed="false">
      <c r="A152" s="13" t="s">
        <v>1020</v>
      </c>
      <c r="B152" s="14" t="s">
        <v>38</v>
      </c>
      <c r="C152" s="14" t="s">
        <v>24</v>
      </c>
      <c r="D152" s="14" t="s">
        <v>727</v>
      </c>
      <c r="E152" s="14" t="s">
        <v>720</v>
      </c>
      <c r="F152" s="14" t="s">
        <v>721</v>
      </c>
      <c r="G152" s="14" t="s">
        <v>158</v>
      </c>
      <c r="H152" s="15" t="n">
        <v>1</v>
      </c>
      <c r="I152" s="15" t="n">
        <v>380</v>
      </c>
      <c r="J152" s="15" t="n">
        <v>40</v>
      </c>
      <c r="K152" s="15" t="n">
        <v>300</v>
      </c>
      <c r="L152" s="15" t="n">
        <v>12940</v>
      </c>
      <c r="M152" s="15" t="n">
        <v>1990</v>
      </c>
      <c r="N152" s="15" t="n">
        <v>0</v>
      </c>
      <c r="O152" s="15" t="n">
        <v>90</v>
      </c>
      <c r="P152" s="14" t="s">
        <v>78</v>
      </c>
      <c r="Q152" s="15" t="s">
        <v>728</v>
      </c>
      <c r="R152" s="14"/>
      <c r="S152" s="14" t="s">
        <v>1021</v>
      </c>
      <c r="T152" s="14" t="s">
        <v>730</v>
      </c>
      <c r="U152" s="14" t="s">
        <v>1022</v>
      </c>
      <c r="V152" s="14" t="s">
        <v>84</v>
      </c>
      <c r="W152" s="14" t="s">
        <v>85</v>
      </c>
      <c r="X152" s="14"/>
    </row>
    <row r="153" customFormat="false" ht="90" hidden="false" customHeight="true" outlineLevel="0" collapsed="false">
      <c r="A153" s="13" t="s">
        <v>1023</v>
      </c>
      <c r="B153" s="14" t="s">
        <v>38</v>
      </c>
      <c r="C153" s="14" t="s">
        <v>25</v>
      </c>
      <c r="D153" s="14" t="s">
        <v>1024</v>
      </c>
      <c r="E153" s="14" t="s">
        <v>481</v>
      </c>
      <c r="F153" s="14" t="s">
        <v>482</v>
      </c>
      <c r="G153" s="14" t="s">
        <v>158</v>
      </c>
      <c r="H153" s="15" t="n">
        <v>1</v>
      </c>
      <c r="I153" s="15" t="n">
        <v>800</v>
      </c>
      <c r="J153" s="15" t="n">
        <v>40</v>
      </c>
      <c r="K153" s="15" t="n">
        <v>900</v>
      </c>
      <c r="L153" s="15" t="n">
        <v>12940</v>
      </c>
      <c r="M153" s="15" t="n">
        <v>850</v>
      </c>
      <c r="N153" s="15" t="n">
        <v>1050</v>
      </c>
      <c r="O153" s="15" t="n">
        <v>90</v>
      </c>
      <c r="P153" s="14" t="s">
        <v>78</v>
      </c>
      <c r="Q153" s="15" t="s">
        <v>734</v>
      </c>
      <c r="R153" s="14"/>
      <c r="S153" s="14" t="s">
        <v>1025</v>
      </c>
      <c r="T153" s="14" t="s">
        <v>1026</v>
      </c>
      <c r="U153" s="14" t="s">
        <v>1027</v>
      </c>
      <c r="V153" s="14" t="s">
        <v>84</v>
      </c>
      <c r="W153" s="14" t="s">
        <v>164</v>
      </c>
      <c r="X153" s="14"/>
    </row>
    <row r="154" customFormat="false" ht="90" hidden="false" customHeight="true" outlineLevel="0" collapsed="false">
      <c r="A154" s="13" t="s">
        <v>1028</v>
      </c>
      <c r="B154" s="14" t="s">
        <v>38</v>
      </c>
      <c r="C154" s="14" t="s">
        <v>25</v>
      </c>
      <c r="D154" s="14" t="s">
        <v>1029</v>
      </c>
      <c r="E154" s="14" t="s">
        <v>167</v>
      </c>
      <c r="F154" s="14" t="s">
        <v>168</v>
      </c>
      <c r="G154" s="14" t="s">
        <v>169</v>
      </c>
      <c r="H154" s="15" t="n">
        <v>1</v>
      </c>
      <c r="I154" s="15" t="n">
        <v>250</v>
      </c>
      <c r="J154" s="15" t="n">
        <v>250</v>
      </c>
      <c r="K154" s="15" t="n">
        <v>150</v>
      </c>
      <c r="L154" s="15" t="n">
        <v>12700</v>
      </c>
      <c r="M154" s="15" t="n">
        <v>1250</v>
      </c>
      <c r="N154" s="15" t="s">
        <v>170</v>
      </c>
      <c r="O154" s="15" t="n">
        <v>0</v>
      </c>
      <c r="P154" s="14" t="s">
        <v>90</v>
      </c>
      <c r="Q154" s="15" t="s">
        <v>1030</v>
      </c>
      <c r="R154" s="14" t="s">
        <v>196</v>
      </c>
      <c r="S154" s="14" t="s">
        <v>1031</v>
      </c>
      <c r="T154" s="14" t="s">
        <v>174</v>
      </c>
      <c r="U154" s="14" t="s">
        <v>1032</v>
      </c>
      <c r="V154" s="14" t="s">
        <v>84</v>
      </c>
      <c r="W154" s="14" t="s">
        <v>164</v>
      </c>
      <c r="X154" s="14"/>
    </row>
    <row r="155" customFormat="false" ht="90" hidden="false" customHeight="true" outlineLevel="0" collapsed="false">
      <c r="A155" s="13" t="s">
        <v>1033</v>
      </c>
      <c r="B155" s="14" t="s">
        <v>38</v>
      </c>
      <c r="C155" s="14" t="s">
        <v>25</v>
      </c>
      <c r="D155" s="14" t="s">
        <v>1034</v>
      </c>
      <c r="E155" s="14" t="s">
        <v>331</v>
      </c>
      <c r="F155" s="14" t="s">
        <v>332</v>
      </c>
      <c r="G155" s="14" t="s">
        <v>77</v>
      </c>
      <c r="H155" s="15" t="n">
        <v>1</v>
      </c>
      <c r="I155" s="15" t="n">
        <v>250</v>
      </c>
      <c r="J155" s="15" t="n">
        <v>250</v>
      </c>
      <c r="K155" s="15" t="n">
        <v>600</v>
      </c>
      <c r="L155" s="15" t="n">
        <v>11300</v>
      </c>
      <c r="M155" s="15" t="n">
        <v>2300</v>
      </c>
      <c r="N155" s="15" t="n">
        <v>0</v>
      </c>
      <c r="O155" s="15" t="n">
        <v>0</v>
      </c>
      <c r="P155" s="14" t="s">
        <v>90</v>
      </c>
      <c r="Q155" s="15" t="s">
        <v>333</v>
      </c>
      <c r="R155" s="14" t="s">
        <v>334</v>
      </c>
      <c r="S155" s="14" t="s">
        <v>1035</v>
      </c>
      <c r="T155" s="14" t="s">
        <v>1036</v>
      </c>
      <c r="U155" s="14" t="s">
        <v>1037</v>
      </c>
      <c r="V155" s="14" t="s">
        <v>114</v>
      </c>
      <c r="W155" s="14" t="s">
        <v>164</v>
      </c>
      <c r="X155" s="14"/>
    </row>
    <row r="156" customFormat="false" ht="90" hidden="false" customHeight="true" outlineLevel="0" collapsed="false">
      <c r="A156" s="13" t="s">
        <v>1038</v>
      </c>
      <c r="B156" s="14" t="s">
        <v>38</v>
      </c>
      <c r="C156" s="14" t="s">
        <v>26</v>
      </c>
      <c r="D156" s="14" t="s">
        <v>1039</v>
      </c>
      <c r="E156" s="14" t="s">
        <v>629</v>
      </c>
      <c r="F156" s="14" t="s">
        <v>630</v>
      </c>
      <c r="G156" s="14" t="s">
        <v>218</v>
      </c>
      <c r="H156" s="15" t="n">
        <v>1</v>
      </c>
      <c r="I156" s="15" t="n">
        <v>2402</v>
      </c>
      <c r="J156" s="15" t="n">
        <v>2005</v>
      </c>
      <c r="K156" s="15" t="n">
        <v>0</v>
      </c>
      <c r="L156" s="15" t="n">
        <v>12002</v>
      </c>
      <c r="M156" s="15" t="n">
        <v>1431</v>
      </c>
      <c r="N156" s="15" t="n">
        <v>0</v>
      </c>
      <c r="O156" s="15" t="n">
        <v>0</v>
      </c>
      <c r="P156" s="14" t="s">
        <v>90</v>
      </c>
      <c r="Q156" s="15" t="s">
        <v>1040</v>
      </c>
      <c r="R156" s="14" t="s">
        <v>762</v>
      </c>
      <c r="S156" s="14" t="s">
        <v>1041</v>
      </c>
      <c r="T156" s="14" t="s">
        <v>1042</v>
      </c>
      <c r="U156" s="14" t="s">
        <v>1043</v>
      </c>
      <c r="V156" s="14" t="s">
        <v>84</v>
      </c>
      <c r="W156" s="14" t="s">
        <v>213</v>
      </c>
      <c r="X156" s="14"/>
    </row>
    <row r="157" customFormat="false" ht="90" hidden="false" customHeight="true" outlineLevel="0" collapsed="false">
      <c r="A157" s="13" t="s">
        <v>1044</v>
      </c>
      <c r="B157" s="14" t="s">
        <v>38</v>
      </c>
      <c r="C157" s="14" t="s">
        <v>26</v>
      </c>
      <c r="D157" s="14" t="s">
        <v>739</v>
      </c>
      <c r="E157" s="14" t="s">
        <v>720</v>
      </c>
      <c r="F157" s="14" t="s">
        <v>721</v>
      </c>
      <c r="G157" s="14" t="s">
        <v>158</v>
      </c>
      <c r="H157" s="15" t="n">
        <v>1</v>
      </c>
      <c r="I157" s="15" t="n">
        <v>200</v>
      </c>
      <c r="J157" s="15" t="n">
        <v>40</v>
      </c>
      <c r="K157" s="15" t="n">
        <v>400</v>
      </c>
      <c r="L157" s="15" t="n">
        <v>11065</v>
      </c>
      <c r="M157" s="15" t="n">
        <v>1100</v>
      </c>
      <c r="N157" s="15" t="n">
        <v>0</v>
      </c>
      <c r="O157" s="15" t="n">
        <v>270</v>
      </c>
      <c r="P157" s="14" t="s">
        <v>120</v>
      </c>
      <c r="Q157" s="15" t="s">
        <v>1045</v>
      </c>
      <c r="R157" s="14" t="s">
        <v>741</v>
      </c>
      <c r="S157" s="14" t="s">
        <v>1046</v>
      </c>
      <c r="T157" s="14" t="s">
        <v>1047</v>
      </c>
      <c r="U157" s="14" t="s">
        <v>1048</v>
      </c>
      <c r="V157" s="14" t="s">
        <v>84</v>
      </c>
      <c r="W157" s="14" t="s">
        <v>213</v>
      </c>
      <c r="X157" s="14"/>
    </row>
    <row r="158" customFormat="false" ht="90" hidden="false" customHeight="true" outlineLevel="0" collapsed="false">
      <c r="A158" s="13" t="s">
        <v>1049</v>
      </c>
      <c r="B158" s="14" t="s">
        <v>38</v>
      </c>
      <c r="C158" s="14" t="s">
        <v>26</v>
      </c>
      <c r="D158" s="14" t="s">
        <v>1050</v>
      </c>
      <c r="E158" s="14" t="s">
        <v>216</v>
      </c>
      <c r="F158" s="14" t="s">
        <v>217</v>
      </c>
      <c r="G158" s="14" t="s">
        <v>218</v>
      </c>
      <c r="H158" s="15" t="n">
        <v>1</v>
      </c>
      <c r="I158" s="15" t="n">
        <v>2402</v>
      </c>
      <c r="J158" s="15" t="n">
        <v>2005</v>
      </c>
      <c r="K158" s="15" t="n">
        <v>15</v>
      </c>
      <c r="L158" s="15" t="n">
        <v>12002</v>
      </c>
      <c r="M158" s="15" t="n">
        <v>1431</v>
      </c>
      <c r="N158" s="15" t="n">
        <v>0</v>
      </c>
      <c r="O158" s="15" t="n">
        <v>0</v>
      </c>
      <c r="P158" s="14" t="s">
        <v>90</v>
      </c>
      <c r="Q158" s="15" t="s">
        <v>1051</v>
      </c>
      <c r="R158" s="14" t="s">
        <v>775</v>
      </c>
      <c r="S158" s="14" t="s">
        <v>1052</v>
      </c>
      <c r="T158" s="14" t="s">
        <v>1053</v>
      </c>
      <c r="U158" s="14" t="s">
        <v>1054</v>
      </c>
      <c r="V158" s="14" t="s">
        <v>84</v>
      </c>
      <c r="W158" s="14" t="s">
        <v>213</v>
      </c>
      <c r="X158" s="14"/>
    </row>
    <row r="159" customFormat="false" ht="90" hidden="false" customHeight="true" outlineLevel="0" collapsed="false">
      <c r="A159" s="13" t="s">
        <v>1055</v>
      </c>
      <c r="B159" s="14" t="s">
        <v>38</v>
      </c>
      <c r="C159" s="14" t="s">
        <v>26</v>
      </c>
      <c r="D159" s="14" t="s">
        <v>1056</v>
      </c>
      <c r="E159" s="14" t="s">
        <v>167</v>
      </c>
      <c r="F159" s="14" t="s">
        <v>168</v>
      </c>
      <c r="G159" s="14" t="s">
        <v>169</v>
      </c>
      <c r="H159" s="15" t="n">
        <v>1</v>
      </c>
      <c r="I159" s="15" t="n">
        <v>250</v>
      </c>
      <c r="J159" s="15" t="n">
        <v>250</v>
      </c>
      <c r="K159" s="15" t="n">
        <v>150</v>
      </c>
      <c r="L159" s="15" t="n">
        <v>11450</v>
      </c>
      <c r="M159" s="15" t="n">
        <v>1000</v>
      </c>
      <c r="N159" s="15" t="s">
        <v>170</v>
      </c>
      <c r="O159" s="15" t="n">
        <v>0</v>
      </c>
      <c r="P159" s="14" t="s">
        <v>90</v>
      </c>
      <c r="Q159" s="15" t="s">
        <v>781</v>
      </c>
      <c r="R159" s="14" t="s">
        <v>196</v>
      </c>
      <c r="S159" s="14" t="s">
        <v>1057</v>
      </c>
      <c r="T159" s="14" t="s">
        <v>174</v>
      </c>
      <c r="U159" s="14" t="s">
        <v>1058</v>
      </c>
      <c r="V159" s="14" t="s">
        <v>84</v>
      </c>
      <c r="W159" s="14" t="s">
        <v>213</v>
      </c>
      <c r="X159" s="14"/>
    </row>
    <row r="160" customFormat="false" ht="90" hidden="false" customHeight="true" outlineLevel="0" collapsed="false">
      <c r="A160" s="13" t="s">
        <v>1059</v>
      </c>
      <c r="B160" s="14" t="s">
        <v>38</v>
      </c>
      <c r="C160" s="14" t="s">
        <v>27</v>
      </c>
      <c r="D160" s="14" t="s">
        <v>1060</v>
      </c>
      <c r="E160" s="14" t="s">
        <v>277</v>
      </c>
      <c r="F160" s="14" t="s">
        <v>278</v>
      </c>
      <c r="G160" s="14" t="s">
        <v>158</v>
      </c>
      <c r="H160" s="15" t="n">
        <v>1</v>
      </c>
      <c r="I160" s="15" t="n">
        <v>180</v>
      </c>
      <c r="J160" s="15" t="n">
        <v>180</v>
      </c>
      <c r="K160" s="15" t="n">
        <v>200</v>
      </c>
      <c r="L160" s="15" t="n">
        <v>12900</v>
      </c>
      <c r="M160" s="15" t="n">
        <v>1450</v>
      </c>
      <c r="N160" s="15" t="n">
        <v>1500</v>
      </c>
      <c r="O160" s="15" t="n">
        <v>0</v>
      </c>
      <c r="P160" s="14" t="s">
        <v>90</v>
      </c>
      <c r="Q160" s="15" t="s">
        <v>786</v>
      </c>
      <c r="R160" s="14"/>
      <c r="S160" s="14" t="s">
        <v>1061</v>
      </c>
      <c r="T160" s="14" t="s">
        <v>788</v>
      </c>
      <c r="U160" s="14" t="s">
        <v>1062</v>
      </c>
      <c r="V160" s="14" t="s">
        <v>84</v>
      </c>
      <c r="W160" s="14" t="s">
        <v>266</v>
      </c>
      <c r="X160" s="14"/>
    </row>
    <row r="161" customFormat="false" ht="90" hidden="false" customHeight="true" outlineLevel="0" collapsed="false">
      <c r="A161" s="13" t="s">
        <v>1063</v>
      </c>
      <c r="B161" s="14" t="s">
        <v>38</v>
      </c>
      <c r="C161" s="14" t="s">
        <v>27</v>
      </c>
      <c r="D161" s="14" t="s">
        <v>791</v>
      </c>
      <c r="E161" s="14" t="s">
        <v>359</v>
      </c>
      <c r="F161" s="14" t="s">
        <v>360</v>
      </c>
      <c r="G161" s="14" t="s">
        <v>169</v>
      </c>
      <c r="H161" s="15" t="n">
        <v>1</v>
      </c>
      <c r="I161" s="15" t="n">
        <v>800</v>
      </c>
      <c r="J161" s="15" t="n">
        <v>40</v>
      </c>
      <c r="K161" s="15" t="n">
        <v>10</v>
      </c>
      <c r="L161" s="15" t="n">
        <v>12915</v>
      </c>
      <c r="M161" s="15" t="n">
        <v>850</v>
      </c>
      <c r="N161" s="15" t="s">
        <v>170</v>
      </c>
      <c r="O161" s="15" t="n">
        <v>0</v>
      </c>
      <c r="P161" s="14" t="s">
        <v>90</v>
      </c>
      <c r="Q161" s="15" t="s">
        <v>361</v>
      </c>
      <c r="R161" s="14"/>
      <c r="S161" s="14" t="s">
        <v>1064</v>
      </c>
      <c r="T161" s="14" t="s">
        <v>1065</v>
      </c>
      <c r="U161" s="14" t="s">
        <v>1066</v>
      </c>
      <c r="V161" s="14" t="s">
        <v>84</v>
      </c>
      <c r="W161" s="14" t="s">
        <v>266</v>
      </c>
      <c r="X161" s="14"/>
    </row>
    <row r="162" customFormat="false" ht="90" hidden="false" customHeight="true" outlineLevel="0" collapsed="false">
      <c r="A162" s="13" t="s">
        <v>1067</v>
      </c>
      <c r="B162" s="14" t="s">
        <v>38</v>
      </c>
      <c r="C162" s="14" t="s">
        <v>27</v>
      </c>
      <c r="D162" s="14" t="s">
        <v>1068</v>
      </c>
      <c r="E162" s="14" t="s">
        <v>167</v>
      </c>
      <c r="F162" s="14" t="s">
        <v>168</v>
      </c>
      <c r="G162" s="14" t="s">
        <v>169</v>
      </c>
      <c r="H162" s="15" t="n">
        <v>1</v>
      </c>
      <c r="I162" s="15" t="n">
        <v>500</v>
      </c>
      <c r="J162" s="15" t="n">
        <v>40</v>
      </c>
      <c r="K162" s="15" t="n">
        <v>900</v>
      </c>
      <c r="L162" s="15" t="n">
        <v>11020</v>
      </c>
      <c r="M162" s="15" t="n">
        <v>1650</v>
      </c>
      <c r="N162" s="15" t="s">
        <v>170</v>
      </c>
      <c r="O162" s="15" t="n">
        <v>270</v>
      </c>
      <c r="P162" s="14" t="s">
        <v>120</v>
      </c>
      <c r="Q162" s="15" t="s">
        <v>1069</v>
      </c>
      <c r="R162" s="14" t="s">
        <v>196</v>
      </c>
      <c r="S162" s="14" t="s">
        <v>1070</v>
      </c>
      <c r="T162" s="14" t="s">
        <v>1071</v>
      </c>
      <c r="U162" s="14" t="s">
        <v>1072</v>
      </c>
      <c r="V162" s="14" t="s">
        <v>84</v>
      </c>
      <c r="W162" s="14" t="s">
        <v>266</v>
      </c>
      <c r="X162" s="14"/>
    </row>
    <row r="163" customFormat="false" ht="90" hidden="false" customHeight="true" outlineLevel="0" collapsed="false">
      <c r="A163" s="13" t="s">
        <v>1073</v>
      </c>
      <c r="B163" s="14" t="s">
        <v>38</v>
      </c>
      <c r="C163" s="14" t="s">
        <v>27</v>
      </c>
      <c r="D163" s="14" t="s">
        <v>1074</v>
      </c>
      <c r="E163" s="14" t="s">
        <v>302</v>
      </c>
      <c r="F163" s="14" t="s">
        <v>303</v>
      </c>
      <c r="G163" s="14" t="s">
        <v>169</v>
      </c>
      <c r="H163" s="15" t="n">
        <v>1</v>
      </c>
      <c r="I163" s="15" t="n">
        <v>250</v>
      </c>
      <c r="J163" s="15" t="n">
        <v>250</v>
      </c>
      <c r="K163" s="15" t="n">
        <v>150</v>
      </c>
      <c r="L163" s="15" t="n">
        <v>11100</v>
      </c>
      <c r="M163" s="15" t="n">
        <v>1650</v>
      </c>
      <c r="N163" s="15" t="s">
        <v>170</v>
      </c>
      <c r="O163" s="15" t="n">
        <v>0</v>
      </c>
      <c r="P163" s="14" t="s">
        <v>90</v>
      </c>
      <c r="Q163" s="15" t="s">
        <v>754</v>
      </c>
      <c r="R163" s="14"/>
      <c r="S163" s="14" t="s">
        <v>1075</v>
      </c>
      <c r="T163" s="14" t="s">
        <v>307</v>
      </c>
      <c r="U163" s="14" t="s">
        <v>1076</v>
      </c>
      <c r="V163" s="14" t="s">
        <v>84</v>
      </c>
      <c r="W163" s="14" t="s">
        <v>266</v>
      </c>
      <c r="X163" s="14"/>
    </row>
    <row r="164" customFormat="false" ht="90" hidden="false" customHeight="true" outlineLevel="0" collapsed="false">
      <c r="A164" s="13" t="s">
        <v>1077</v>
      </c>
      <c r="B164" s="14" t="s">
        <v>38</v>
      </c>
      <c r="C164" s="14" t="s">
        <v>27</v>
      </c>
      <c r="D164" s="14" t="s">
        <v>818</v>
      </c>
      <c r="E164" s="14" t="s">
        <v>293</v>
      </c>
      <c r="F164" s="14" t="s">
        <v>294</v>
      </c>
      <c r="G164" s="14" t="s">
        <v>77</v>
      </c>
      <c r="H164" s="15" t="n">
        <v>1</v>
      </c>
      <c r="I164" s="15" t="n">
        <v>600</v>
      </c>
      <c r="J164" s="15" t="n">
        <v>400</v>
      </c>
      <c r="K164" s="15" t="n">
        <v>12</v>
      </c>
      <c r="L164" s="15" t="n">
        <v>11600</v>
      </c>
      <c r="M164" s="15" t="n">
        <v>1500</v>
      </c>
      <c r="N164" s="15" t="n">
        <v>0</v>
      </c>
      <c r="O164" s="15" t="n">
        <v>0</v>
      </c>
      <c r="P164" s="14" t="s">
        <v>90</v>
      </c>
      <c r="Q164" s="15" t="s">
        <v>819</v>
      </c>
      <c r="R164" s="14" t="s">
        <v>296</v>
      </c>
      <c r="S164" s="14" t="s">
        <v>1078</v>
      </c>
      <c r="T164" s="14" t="s">
        <v>1079</v>
      </c>
      <c r="U164" s="14" t="s">
        <v>1080</v>
      </c>
      <c r="V164" s="14" t="s">
        <v>84</v>
      </c>
      <c r="W164" s="14" t="s">
        <v>266</v>
      </c>
      <c r="X164" s="14"/>
    </row>
    <row r="165" customFormat="false" ht="90" hidden="false" customHeight="true" outlineLevel="0" collapsed="false">
      <c r="A165" s="13" t="s">
        <v>1081</v>
      </c>
      <c r="B165" s="14" t="s">
        <v>39</v>
      </c>
      <c r="C165" s="14" t="s">
        <v>24</v>
      </c>
      <c r="D165" s="14" t="s">
        <v>1082</v>
      </c>
      <c r="E165" s="14" t="s">
        <v>373</v>
      </c>
      <c r="F165" s="14" t="s">
        <v>374</v>
      </c>
      <c r="G165" s="14" t="s">
        <v>77</v>
      </c>
      <c r="H165" s="15" t="n">
        <v>1</v>
      </c>
      <c r="I165" s="15" t="n">
        <v>1981</v>
      </c>
      <c r="J165" s="15" t="n">
        <v>1524</v>
      </c>
      <c r="K165" s="15" t="n">
        <v>450</v>
      </c>
      <c r="L165" s="15" t="n">
        <v>9410</v>
      </c>
      <c r="M165" s="15" t="n">
        <v>9598</v>
      </c>
      <c r="N165" s="15" t="n">
        <v>0</v>
      </c>
      <c r="O165" s="15" t="n">
        <v>0</v>
      </c>
      <c r="P165" s="14" t="s">
        <v>183</v>
      </c>
      <c r="Q165" s="15" t="s">
        <v>375</v>
      </c>
      <c r="R165" s="14" t="s">
        <v>1083</v>
      </c>
      <c r="S165" s="14" t="s">
        <v>1084</v>
      </c>
      <c r="T165" s="14" t="s">
        <v>1085</v>
      </c>
      <c r="U165" s="14" t="s">
        <v>1086</v>
      </c>
      <c r="V165" s="14" t="s">
        <v>84</v>
      </c>
      <c r="W165" s="14" t="s">
        <v>85</v>
      </c>
      <c r="X165" s="14"/>
    </row>
    <row r="166" customFormat="false" ht="90" hidden="false" customHeight="true" outlineLevel="0" collapsed="false">
      <c r="A166" s="13" t="s">
        <v>1087</v>
      </c>
      <c r="B166" s="14" t="s">
        <v>39</v>
      </c>
      <c r="C166" s="14" t="s">
        <v>24</v>
      </c>
      <c r="D166" s="14" t="s">
        <v>1088</v>
      </c>
      <c r="E166" s="14" t="s">
        <v>381</v>
      </c>
      <c r="F166" s="14" t="s">
        <v>382</v>
      </c>
      <c r="G166" s="14" t="s">
        <v>77</v>
      </c>
      <c r="H166" s="15" t="n">
        <v>2</v>
      </c>
      <c r="I166" s="15" t="n">
        <v>450</v>
      </c>
      <c r="J166" s="15" t="n">
        <v>450</v>
      </c>
      <c r="K166" s="15" t="n">
        <v>550</v>
      </c>
      <c r="L166" s="15" t="n">
        <v>8373</v>
      </c>
      <c r="M166" s="15" t="n">
        <v>8832</v>
      </c>
      <c r="N166" s="15" t="n">
        <v>0</v>
      </c>
      <c r="O166" s="15" t="n">
        <v>0</v>
      </c>
      <c r="P166" s="14" t="s">
        <v>90</v>
      </c>
      <c r="Q166" s="15" t="s">
        <v>1089</v>
      </c>
      <c r="R166" s="14" t="s">
        <v>1090</v>
      </c>
      <c r="S166" s="14" t="s">
        <v>1091</v>
      </c>
      <c r="T166" s="14" t="s">
        <v>385</v>
      </c>
      <c r="U166" s="14" t="s">
        <v>1092</v>
      </c>
      <c r="V166" s="14" t="s">
        <v>84</v>
      </c>
      <c r="W166" s="14" t="s">
        <v>85</v>
      </c>
      <c r="X166" s="14"/>
    </row>
    <row r="167" customFormat="false" ht="90" hidden="false" customHeight="true" outlineLevel="0" collapsed="false">
      <c r="A167" s="13" t="s">
        <v>1093</v>
      </c>
      <c r="B167" s="14" t="s">
        <v>39</v>
      </c>
      <c r="C167" s="14" t="s">
        <v>24</v>
      </c>
      <c r="D167" s="14" t="s">
        <v>1094</v>
      </c>
      <c r="E167" s="14" t="s">
        <v>550</v>
      </c>
      <c r="F167" s="14" t="s">
        <v>551</v>
      </c>
      <c r="G167" s="14" t="s">
        <v>77</v>
      </c>
      <c r="H167" s="15" t="n">
        <v>2</v>
      </c>
      <c r="I167" s="15" t="n">
        <v>2800</v>
      </c>
      <c r="J167" s="15" t="n">
        <v>600</v>
      </c>
      <c r="K167" s="15" t="n">
        <v>2700</v>
      </c>
      <c r="L167" s="15" t="n">
        <v>9100</v>
      </c>
      <c r="M167" s="15" t="n">
        <v>11940</v>
      </c>
      <c r="N167" s="15" t="n">
        <v>0</v>
      </c>
      <c r="O167" s="15" t="n">
        <v>0</v>
      </c>
      <c r="P167" s="14" t="s">
        <v>90</v>
      </c>
      <c r="Q167" s="15" t="s">
        <v>1095</v>
      </c>
      <c r="R167" s="14" t="s">
        <v>1096</v>
      </c>
      <c r="S167" s="14" t="s">
        <v>1097</v>
      </c>
      <c r="T167" s="14" t="s">
        <v>1098</v>
      </c>
      <c r="U167" s="14" t="s">
        <v>1099</v>
      </c>
      <c r="V167" s="14" t="s">
        <v>84</v>
      </c>
      <c r="W167" s="14" t="s">
        <v>85</v>
      </c>
      <c r="X167" s="14"/>
    </row>
    <row r="168" customFormat="false" ht="90" hidden="false" customHeight="true" outlineLevel="0" collapsed="false">
      <c r="A168" s="13" t="s">
        <v>1100</v>
      </c>
      <c r="B168" s="14" t="s">
        <v>39</v>
      </c>
      <c r="C168" s="14" t="s">
        <v>24</v>
      </c>
      <c r="D168" s="14" t="s">
        <v>1101</v>
      </c>
      <c r="E168" s="14" t="s">
        <v>415</v>
      </c>
      <c r="F168" s="14" t="s">
        <v>416</v>
      </c>
      <c r="G168" s="14" t="s">
        <v>77</v>
      </c>
      <c r="H168" s="15" t="n">
        <v>1</v>
      </c>
      <c r="I168" s="15" t="n">
        <v>1100</v>
      </c>
      <c r="J168" s="15" t="n">
        <v>500</v>
      </c>
      <c r="K168" s="15" t="n">
        <v>750</v>
      </c>
      <c r="L168" s="15" t="n">
        <v>7885</v>
      </c>
      <c r="M168" s="15" t="n">
        <v>10850</v>
      </c>
      <c r="N168" s="15" t="n">
        <v>0</v>
      </c>
      <c r="O168" s="15" t="n">
        <v>270</v>
      </c>
      <c r="P168" s="14" t="s">
        <v>120</v>
      </c>
      <c r="Q168" s="15" t="s">
        <v>417</v>
      </c>
      <c r="R168" s="14" t="s">
        <v>1102</v>
      </c>
      <c r="S168" s="14" t="s">
        <v>1103</v>
      </c>
      <c r="T168" s="14" t="s">
        <v>1104</v>
      </c>
      <c r="U168" s="14" t="s">
        <v>1105</v>
      </c>
      <c r="V168" s="14" t="s">
        <v>84</v>
      </c>
      <c r="W168" s="14" t="s">
        <v>85</v>
      </c>
      <c r="X168" s="14" t="s">
        <v>1106</v>
      </c>
    </row>
    <row r="169" customFormat="false" ht="90" hidden="false" customHeight="true" outlineLevel="0" collapsed="false">
      <c r="A169" s="13" t="s">
        <v>1107</v>
      </c>
      <c r="B169" s="14" t="s">
        <v>39</v>
      </c>
      <c r="C169" s="14" t="s">
        <v>24</v>
      </c>
      <c r="D169" s="14" t="s">
        <v>1108</v>
      </c>
      <c r="E169" s="14" t="s">
        <v>389</v>
      </c>
      <c r="F169" s="14" t="s">
        <v>390</v>
      </c>
      <c r="G169" s="14" t="s">
        <v>77</v>
      </c>
      <c r="H169" s="15" t="n">
        <v>1</v>
      </c>
      <c r="I169" s="15" t="n">
        <v>750</v>
      </c>
      <c r="J169" s="15" t="n">
        <v>750</v>
      </c>
      <c r="K169" s="15" t="n">
        <v>800</v>
      </c>
      <c r="L169" s="15" t="n">
        <v>11050</v>
      </c>
      <c r="M169" s="15" t="n">
        <v>10475</v>
      </c>
      <c r="N169" s="15" t="n">
        <v>0</v>
      </c>
      <c r="O169" s="15" t="n">
        <v>90</v>
      </c>
      <c r="P169" s="14" t="s">
        <v>78</v>
      </c>
      <c r="Q169" s="15" t="s">
        <v>391</v>
      </c>
      <c r="R169" s="14" t="s">
        <v>1109</v>
      </c>
      <c r="S169" s="14" t="s">
        <v>1110</v>
      </c>
      <c r="T169" s="14" t="s">
        <v>1111</v>
      </c>
      <c r="U169" s="14" t="s">
        <v>1112</v>
      </c>
      <c r="V169" s="14" t="s">
        <v>114</v>
      </c>
      <c r="W169" s="14" t="s">
        <v>85</v>
      </c>
      <c r="X169" s="14"/>
    </row>
    <row r="170" customFormat="false" ht="90" hidden="false" customHeight="true" outlineLevel="0" collapsed="false">
      <c r="A170" s="13" t="s">
        <v>1113</v>
      </c>
      <c r="B170" s="14" t="s">
        <v>39</v>
      </c>
      <c r="C170" s="14" t="s">
        <v>24</v>
      </c>
      <c r="D170" s="14" t="s">
        <v>398</v>
      </c>
      <c r="E170" s="14" t="s">
        <v>399</v>
      </c>
      <c r="F170" s="14" t="s">
        <v>400</v>
      </c>
      <c r="G170" s="14" t="s">
        <v>77</v>
      </c>
      <c r="H170" s="15" t="n">
        <v>1</v>
      </c>
      <c r="I170" s="15" t="n">
        <v>1200</v>
      </c>
      <c r="J170" s="15" t="n">
        <v>400</v>
      </c>
      <c r="K170" s="15" t="n">
        <v>450</v>
      </c>
      <c r="L170" s="15" t="n">
        <v>9410</v>
      </c>
      <c r="M170" s="15" t="n">
        <v>10838</v>
      </c>
      <c r="N170" s="15" t="n">
        <v>0</v>
      </c>
      <c r="O170" s="15" t="n">
        <v>0</v>
      </c>
      <c r="P170" s="14" t="s">
        <v>90</v>
      </c>
      <c r="Q170" s="15" t="s">
        <v>401</v>
      </c>
      <c r="R170" s="14" t="s">
        <v>122</v>
      </c>
      <c r="S170" s="14" t="s">
        <v>1114</v>
      </c>
      <c r="T170" s="14" t="s">
        <v>1115</v>
      </c>
      <c r="U170" s="14" t="s">
        <v>1116</v>
      </c>
      <c r="V170" s="14" t="s">
        <v>84</v>
      </c>
      <c r="W170" s="14" t="s">
        <v>85</v>
      </c>
      <c r="X170" s="14"/>
    </row>
    <row r="171" customFormat="false" ht="90" hidden="false" customHeight="true" outlineLevel="0" collapsed="false">
      <c r="A171" s="13" t="s">
        <v>1117</v>
      </c>
      <c r="B171" s="14" t="s">
        <v>39</v>
      </c>
      <c r="C171" s="14" t="s">
        <v>24</v>
      </c>
      <c r="D171" s="14" t="s">
        <v>1118</v>
      </c>
      <c r="E171" s="14" t="s">
        <v>720</v>
      </c>
      <c r="F171" s="14" t="s">
        <v>721</v>
      </c>
      <c r="G171" s="14" t="s">
        <v>158</v>
      </c>
      <c r="H171" s="15" t="n">
        <v>1</v>
      </c>
      <c r="I171" s="15" t="n">
        <v>800</v>
      </c>
      <c r="J171" s="15" t="n">
        <v>40</v>
      </c>
      <c r="K171" s="15" t="n">
        <v>40</v>
      </c>
      <c r="L171" s="15" t="n">
        <v>7695</v>
      </c>
      <c r="M171" s="15" t="n">
        <v>10900</v>
      </c>
      <c r="N171" s="15" t="n">
        <v>0</v>
      </c>
      <c r="O171" s="15" t="n">
        <v>270</v>
      </c>
      <c r="P171" s="14" t="s">
        <v>120</v>
      </c>
      <c r="Q171" s="15" t="s">
        <v>1119</v>
      </c>
      <c r="R171" s="14"/>
      <c r="S171" s="14" t="s">
        <v>1120</v>
      </c>
      <c r="T171" s="14" t="s">
        <v>1121</v>
      </c>
      <c r="U171" s="14" t="s">
        <v>1122</v>
      </c>
      <c r="V171" s="14" t="s">
        <v>84</v>
      </c>
      <c r="W171" s="14" t="s">
        <v>85</v>
      </c>
      <c r="X171" s="14"/>
    </row>
    <row r="172" customFormat="false" ht="90" hidden="false" customHeight="true" outlineLevel="0" collapsed="false">
      <c r="A172" s="13" t="s">
        <v>1123</v>
      </c>
      <c r="B172" s="14" t="s">
        <v>39</v>
      </c>
      <c r="C172" s="14" t="s">
        <v>25</v>
      </c>
      <c r="D172" s="14" t="s">
        <v>1124</v>
      </c>
      <c r="E172" s="14" t="s">
        <v>156</v>
      </c>
      <c r="F172" s="14" t="s">
        <v>157</v>
      </c>
      <c r="G172" s="14" t="s">
        <v>158</v>
      </c>
      <c r="H172" s="15" t="n">
        <v>3</v>
      </c>
      <c r="I172" s="15" t="n">
        <v>1400</v>
      </c>
      <c r="J172" s="15" t="n">
        <v>40</v>
      </c>
      <c r="K172" s="15" t="n">
        <v>500</v>
      </c>
      <c r="L172" s="15" t="n">
        <v>9400</v>
      </c>
      <c r="M172" s="15" t="n">
        <v>8624</v>
      </c>
      <c r="N172" s="15" t="n">
        <v>1250</v>
      </c>
      <c r="O172" s="15" t="n">
        <v>0</v>
      </c>
      <c r="P172" s="14" t="s">
        <v>183</v>
      </c>
      <c r="Q172" s="15" t="s">
        <v>160</v>
      </c>
      <c r="R172" s="14"/>
      <c r="S172" s="14" t="s">
        <v>1125</v>
      </c>
      <c r="T172" s="14" t="s">
        <v>1126</v>
      </c>
      <c r="U172" s="14" t="s">
        <v>1127</v>
      </c>
      <c r="V172" s="14" t="s">
        <v>84</v>
      </c>
      <c r="W172" s="14" t="s">
        <v>164</v>
      </c>
      <c r="X172" s="14"/>
    </row>
    <row r="173" customFormat="false" ht="90" hidden="false" customHeight="true" outlineLevel="0" collapsed="false">
      <c r="A173" s="13" t="s">
        <v>1128</v>
      </c>
      <c r="B173" s="14" t="s">
        <v>39</v>
      </c>
      <c r="C173" s="14" t="s">
        <v>25</v>
      </c>
      <c r="D173" s="14" t="s">
        <v>1129</v>
      </c>
      <c r="E173" s="14" t="s">
        <v>167</v>
      </c>
      <c r="F173" s="14" t="s">
        <v>168</v>
      </c>
      <c r="G173" s="14" t="s">
        <v>169</v>
      </c>
      <c r="H173" s="15" t="n">
        <v>1</v>
      </c>
      <c r="I173" s="15" t="n">
        <v>250</v>
      </c>
      <c r="J173" s="15" t="n">
        <v>250</v>
      </c>
      <c r="K173" s="15" t="n">
        <v>150</v>
      </c>
      <c r="L173" s="15" t="n">
        <v>7885</v>
      </c>
      <c r="M173" s="15" t="n">
        <v>11200</v>
      </c>
      <c r="N173" s="15" t="s">
        <v>170</v>
      </c>
      <c r="O173" s="15" t="n">
        <v>0</v>
      </c>
      <c r="P173" s="14" t="s">
        <v>90</v>
      </c>
      <c r="Q173" s="15" t="s">
        <v>1130</v>
      </c>
      <c r="R173" s="14" t="s">
        <v>1131</v>
      </c>
      <c r="S173" s="14" t="s">
        <v>1132</v>
      </c>
      <c r="T173" s="14" t="s">
        <v>174</v>
      </c>
      <c r="U173" s="14" t="s">
        <v>1133</v>
      </c>
      <c r="V173" s="14" t="s">
        <v>84</v>
      </c>
      <c r="W173" s="14" t="s">
        <v>164</v>
      </c>
      <c r="X173" s="14"/>
    </row>
    <row r="174" customFormat="false" ht="90" hidden="false" customHeight="true" outlineLevel="0" collapsed="false">
      <c r="A174" s="13" t="s">
        <v>1134</v>
      </c>
      <c r="B174" s="14" t="s">
        <v>39</v>
      </c>
      <c r="C174" s="14" t="s">
        <v>25</v>
      </c>
      <c r="D174" s="14" t="s">
        <v>1135</v>
      </c>
      <c r="E174" s="14" t="s">
        <v>167</v>
      </c>
      <c r="F174" s="14" t="s">
        <v>168</v>
      </c>
      <c r="G174" s="14" t="s">
        <v>169</v>
      </c>
      <c r="H174" s="15" t="n">
        <v>1</v>
      </c>
      <c r="I174" s="15" t="n">
        <v>250</v>
      </c>
      <c r="J174" s="15" t="n">
        <v>250</v>
      </c>
      <c r="K174" s="15" t="n">
        <v>150</v>
      </c>
      <c r="L174" s="15" t="n">
        <v>11321</v>
      </c>
      <c r="M174" s="15" t="n">
        <v>9300</v>
      </c>
      <c r="N174" s="15" t="s">
        <v>170</v>
      </c>
      <c r="O174" s="15" t="n">
        <v>0</v>
      </c>
      <c r="P174" s="14" t="s">
        <v>90</v>
      </c>
      <c r="Q174" s="15" t="s">
        <v>1136</v>
      </c>
      <c r="R174" s="14" t="s">
        <v>334</v>
      </c>
      <c r="S174" s="14" t="s">
        <v>1137</v>
      </c>
      <c r="T174" s="14" t="s">
        <v>174</v>
      </c>
      <c r="U174" s="14" t="s">
        <v>1138</v>
      </c>
      <c r="V174" s="14" t="s">
        <v>114</v>
      </c>
      <c r="W174" s="14" t="s">
        <v>164</v>
      </c>
      <c r="X174" s="14"/>
    </row>
    <row r="175" customFormat="false" ht="90" hidden="false" customHeight="true" outlineLevel="0" collapsed="false">
      <c r="A175" s="13" t="s">
        <v>1139</v>
      </c>
      <c r="B175" s="14" t="s">
        <v>39</v>
      </c>
      <c r="C175" s="14" t="s">
        <v>25</v>
      </c>
      <c r="D175" s="14" t="s">
        <v>450</v>
      </c>
      <c r="E175" s="14" t="s">
        <v>167</v>
      </c>
      <c r="F175" s="14" t="s">
        <v>168</v>
      </c>
      <c r="G175" s="14" t="s">
        <v>169</v>
      </c>
      <c r="H175" s="15" t="n">
        <v>1</v>
      </c>
      <c r="I175" s="15" t="n">
        <v>250</v>
      </c>
      <c r="J175" s="15" t="n">
        <v>250</v>
      </c>
      <c r="K175" s="15" t="n">
        <v>150</v>
      </c>
      <c r="L175" s="15" t="n">
        <v>8373</v>
      </c>
      <c r="M175" s="15" t="n">
        <v>8832</v>
      </c>
      <c r="N175" s="15" t="s">
        <v>170</v>
      </c>
      <c r="O175" s="15" t="n">
        <v>0</v>
      </c>
      <c r="P175" s="14" t="s">
        <v>90</v>
      </c>
      <c r="Q175" s="15" t="s">
        <v>171</v>
      </c>
      <c r="R175" s="14" t="s">
        <v>172</v>
      </c>
      <c r="S175" s="14" t="s">
        <v>451</v>
      </c>
      <c r="T175" s="14" t="s">
        <v>174</v>
      </c>
      <c r="U175" s="14" t="s">
        <v>1140</v>
      </c>
      <c r="V175" s="14" t="s">
        <v>84</v>
      </c>
      <c r="W175" s="14" t="s">
        <v>164</v>
      </c>
      <c r="X175" s="14"/>
    </row>
    <row r="176" customFormat="false" ht="90" hidden="false" customHeight="true" outlineLevel="0" collapsed="false">
      <c r="A176" s="13" t="s">
        <v>1141</v>
      </c>
      <c r="B176" s="14" t="s">
        <v>39</v>
      </c>
      <c r="C176" s="14" t="s">
        <v>26</v>
      </c>
      <c r="D176" s="14" t="s">
        <v>1142</v>
      </c>
      <c r="E176" s="14" t="s">
        <v>629</v>
      </c>
      <c r="F176" s="14" t="s">
        <v>630</v>
      </c>
      <c r="G176" s="14" t="s">
        <v>218</v>
      </c>
      <c r="H176" s="15" t="n">
        <v>1</v>
      </c>
      <c r="I176" s="15" t="n">
        <v>3886</v>
      </c>
      <c r="J176" s="15" t="n">
        <v>3733</v>
      </c>
      <c r="K176" s="15" t="n">
        <v>0</v>
      </c>
      <c r="L176" s="15" t="n">
        <v>9578</v>
      </c>
      <c r="M176" s="15" t="n">
        <v>10374</v>
      </c>
      <c r="N176" s="15" t="n">
        <v>0</v>
      </c>
      <c r="O176" s="15" t="n">
        <v>0</v>
      </c>
      <c r="P176" s="14" t="s">
        <v>90</v>
      </c>
      <c r="Q176" s="15" t="s">
        <v>1143</v>
      </c>
      <c r="R176" s="14" t="s">
        <v>1144</v>
      </c>
      <c r="S176" s="14" t="s">
        <v>1145</v>
      </c>
      <c r="T176" s="14" t="s">
        <v>1146</v>
      </c>
      <c r="U176" s="14" t="s">
        <v>1147</v>
      </c>
      <c r="V176" s="14" t="s">
        <v>114</v>
      </c>
      <c r="W176" s="14" t="s">
        <v>213</v>
      </c>
      <c r="X176" s="14"/>
    </row>
    <row r="177" customFormat="false" ht="90" hidden="false" customHeight="true" outlineLevel="0" collapsed="false">
      <c r="A177" s="13" t="s">
        <v>1148</v>
      </c>
      <c r="B177" s="14" t="s">
        <v>39</v>
      </c>
      <c r="C177" s="14" t="s">
        <v>26</v>
      </c>
      <c r="D177" s="14" t="s">
        <v>1149</v>
      </c>
      <c r="E177" s="14" t="s">
        <v>235</v>
      </c>
      <c r="F177" s="14" t="s">
        <v>236</v>
      </c>
      <c r="G177" s="14" t="s">
        <v>158</v>
      </c>
      <c r="H177" s="15" t="n">
        <v>1</v>
      </c>
      <c r="I177" s="15" t="n">
        <v>2600</v>
      </c>
      <c r="J177" s="15" t="n">
        <v>100</v>
      </c>
      <c r="K177" s="15" t="n">
        <v>2700</v>
      </c>
      <c r="L177" s="15" t="n">
        <v>9400</v>
      </c>
      <c r="M177" s="15" t="n">
        <v>8557</v>
      </c>
      <c r="N177" s="15" t="n">
        <v>0</v>
      </c>
      <c r="O177" s="15" t="n">
        <v>0</v>
      </c>
      <c r="P177" s="14" t="s">
        <v>183</v>
      </c>
      <c r="Q177" s="15" t="s">
        <v>1150</v>
      </c>
      <c r="R177" s="14" t="s">
        <v>1151</v>
      </c>
      <c r="S177" s="14" t="s">
        <v>1152</v>
      </c>
      <c r="T177" s="14" t="s">
        <v>1153</v>
      </c>
      <c r="U177" s="14" t="s">
        <v>1154</v>
      </c>
      <c r="V177" s="14" t="s">
        <v>84</v>
      </c>
      <c r="W177" s="14" t="s">
        <v>213</v>
      </c>
      <c r="X177" s="14"/>
    </row>
    <row r="178" customFormat="false" ht="90" hidden="false" customHeight="true" outlineLevel="0" collapsed="false">
      <c r="A178" s="13" t="s">
        <v>1155</v>
      </c>
      <c r="B178" s="14" t="s">
        <v>39</v>
      </c>
      <c r="C178" s="14" t="s">
        <v>26</v>
      </c>
      <c r="D178" s="14" t="s">
        <v>1156</v>
      </c>
      <c r="E178" s="14" t="s">
        <v>235</v>
      </c>
      <c r="F178" s="14" t="s">
        <v>236</v>
      </c>
      <c r="G178" s="14" t="s">
        <v>158</v>
      </c>
      <c r="H178" s="15" t="n">
        <v>1</v>
      </c>
      <c r="I178" s="15" t="n">
        <v>1200</v>
      </c>
      <c r="J178" s="15" t="n">
        <v>40</v>
      </c>
      <c r="K178" s="15" t="n">
        <v>2700</v>
      </c>
      <c r="L178" s="15" t="n">
        <v>7655</v>
      </c>
      <c r="M178" s="15" t="n">
        <v>10850</v>
      </c>
      <c r="N178" s="15" t="n">
        <v>0</v>
      </c>
      <c r="O178" s="15" t="n">
        <v>270</v>
      </c>
      <c r="P178" s="14" t="s">
        <v>120</v>
      </c>
      <c r="Q178" s="15" t="s">
        <v>1157</v>
      </c>
      <c r="R178" s="14" t="s">
        <v>980</v>
      </c>
      <c r="S178" s="14" t="s">
        <v>1158</v>
      </c>
      <c r="T178" s="14" t="s">
        <v>1159</v>
      </c>
      <c r="U178" s="14" t="s">
        <v>1160</v>
      </c>
      <c r="V178" s="14" t="s">
        <v>84</v>
      </c>
      <c r="W178" s="14" t="s">
        <v>213</v>
      </c>
      <c r="X178" s="14"/>
    </row>
    <row r="179" customFormat="false" ht="90" hidden="false" customHeight="true" outlineLevel="0" collapsed="false">
      <c r="A179" s="13" t="s">
        <v>1161</v>
      </c>
      <c r="B179" s="14" t="s">
        <v>39</v>
      </c>
      <c r="C179" s="14" t="s">
        <v>26</v>
      </c>
      <c r="D179" s="14" t="s">
        <v>1162</v>
      </c>
      <c r="E179" s="14" t="s">
        <v>252</v>
      </c>
      <c r="F179" s="14" t="s">
        <v>253</v>
      </c>
      <c r="G179" s="14" t="s">
        <v>77</v>
      </c>
      <c r="H179" s="15" t="n">
        <v>1</v>
      </c>
      <c r="I179" s="15" t="n">
        <v>250</v>
      </c>
      <c r="J179" s="15" t="n">
        <v>250</v>
      </c>
      <c r="K179" s="15" t="n">
        <v>5</v>
      </c>
      <c r="L179" s="15" t="n">
        <v>10650</v>
      </c>
      <c r="M179" s="15" t="n">
        <v>8560</v>
      </c>
      <c r="N179" s="15" t="n">
        <v>0</v>
      </c>
      <c r="O179" s="15" t="n">
        <v>0</v>
      </c>
      <c r="P179" s="14" t="s">
        <v>90</v>
      </c>
      <c r="Q179" s="15" t="s">
        <v>1163</v>
      </c>
      <c r="R179" s="14" t="s">
        <v>441</v>
      </c>
      <c r="S179" s="14" t="s">
        <v>1164</v>
      </c>
      <c r="T179" s="14" t="s">
        <v>1165</v>
      </c>
      <c r="U179" s="14" t="s">
        <v>1166</v>
      </c>
      <c r="V179" s="14" t="s">
        <v>84</v>
      </c>
      <c r="W179" s="14" t="s">
        <v>213</v>
      </c>
      <c r="X179" s="14"/>
    </row>
    <row r="180" customFormat="false" ht="90" hidden="false" customHeight="true" outlineLevel="0" collapsed="false">
      <c r="A180" s="13" t="s">
        <v>1167</v>
      </c>
      <c r="B180" s="14" t="s">
        <v>39</v>
      </c>
      <c r="C180" s="14" t="s">
        <v>26</v>
      </c>
      <c r="D180" s="14" t="s">
        <v>647</v>
      </c>
      <c r="E180" s="14" t="s">
        <v>216</v>
      </c>
      <c r="F180" s="14" t="s">
        <v>217</v>
      </c>
      <c r="G180" s="14" t="s">
        <v>218</v>
      </c>
      <c r="H180" s="15" t="n">
        <v>1</v>
      </c>
      <c r="I180" s="15" t="n">
        <v>3886</v>
      </c>
      <c r="J180" s="15" t="n">
        <v>3733</v>
      </c>
      <c r="K180" s="15" t="n">
        <v>15</v>
      </c>
      <c r="L180" s="15" t="n">
        <v>9578</v>
      </c>
      <c r="M180" s="15" t="n">
        <v>10374</v>
      </c>
      <c r="N180" s="15" t="n">
        <v>0</v>
      </c>
      <c r="O180" s="15" t="n">
        <v>0</v>
      </c>
      <c r="P180" s="14" t="s">
        <v>90</v>
      </c>
      <c r="Q180" s="15" t="s">
        <v>648</v>
      </c>
      <c r="R180" s="14" t="s">
        <v>490</v>
      </c>
      <c r="S180" s="14" t="s">
        <v>1168</v>
      </c>
      <c r="T180" s="14" t="s">
        <v>1169</v>
      </c>
      <c r="U180" s="14" t="s">
        <v>1170</v>
      </c>
      <c r="V180" s="14" t="s">
        <v>84</v>
      </c>
      <c r="W180" s="14" t="s">
        <v>213</v>
      </c>
      <c r="X180" s="14"/>
    </row>
    <row r="181" customFormat="false" ht="90" hidden="false" customHeight="true" outlineLevel="0" collapsed="false">
      <c r="A181" s="13" t="s">
        <v>1171</v>
      </c>
      <c r="B181" s="14" t="s">
        <v>39</v>
      </c>
      <c r="C181" s="14" t="s">
        <v>27</v>
      </c>
      <c r="D181" s="14" t="s">
        <v>1172</v>
      </c>
      <c r="E181" s="14" t="s">
        <v>496</v>
      </c>
      <c r="F181" s="14" t="s">
        <v>497</v>
      </c>
      <c r="G181" s="14" t="s">
        <v>245</v>
      </c>
      <c r="H181" s="15" t="n">
        <v>1</v>
      </c>
      <c r="I181" s="15" t="n">
        <v>2600</v>
      </c>
      <c r="J181" s="15" t="n">
        <v>40</v>
      </c>
      <c r="K181" s="15" t="n">
        <v>40</v>
      </c>
      <c r="L181" s="15" t="n">
        <v>9400</v>
      </c>
      <c r="M181" s="15" t="n">
        <v>11450</v>
      </c>
      <c r="N181" s="15" t="n">
        <v>2750</v>
      </c>
      <c r="O181" s="15" t="n">
        <v>0</v>
      </c>
      <c r="P181" s="14" t="s">
        <v>90</v>
      </c>
      <c r="Q181" s="15" t="s">
        <v>498</v>
      </c>
      <c r="R181" s="14" t="s">
        <v>196</v>
      </c>
      <c r="S181" s="14" t="s">
        <v>1173</v>
      </c>
      <c r="T181" s="14" t="s">
        <v>1174</v>
      </c>
      <c r="U181" s="14" t="s">
        <v>1175</v>
      </c>
      <c r="V181" s="14" t="s">
        <v>84</v>
      </c>
      <c r="W181" s="14" t="s">
        <v>266</v>
      </c>
      <c r="X181" s="14"/>
    </row>
    <row r="182" customFormat="false" ht="90" hidden="false" customHeight="true" outlineLevel="0" collapsed="false">
      <c r="A182" s="13" t="s">
        <v>1176</v>
      </c>
      <c r="B182" s="14" t="s">
        <v>39</v>
      </c>
      <c r="C182" s="14" t="s">
        <v>27</v>
      </c>
      <c r="D182" s="14" t="s">
        <v>1177</v>
      </c>
      <c r="E182" s="14" t="s">
        <v>277</v>
      </c>
      <c r="F182" s="14" t="s">
        <v>278</v>
      </c>
      <c r="G182" s="14" t="s">
        <v>158</v>
      </c>
      <c r="H182" s="15" t="n">
        <v>2</v>
      </c>
      <c r="I182" s="15" t="n">
        <v>200</v>
      </c>
      <c r="J182" s="15" t="n">
        <v>200</v>
      </c>
      <c r="K182" s="15" t="n">
        <v>200</v>
      </c>
      <c r="L182" s="15" t="n">
        <v>8373</v>
      </c>
      <c r="M182" s="15" t="n">
        <v>9150</v>
      </c>
      <c r="N182" s="15" t="n">
        <v>1500</v>
      </c>
      <c r="O182" s="15" t="n">
        <v>0</v>
      </c>
      <c r="P182" s="14" t="s">
        <v>90</v>
      </c>
      <c r="Q182" s="15" t="s">
        <v>1178</v>
      </c>
      <c r="R182" s="14" t="s">
        <v>196</v>
      </c>
      <c r="S182" s="14" t="s">
        <v>1179</v>
      </c>
      <c r="T182" s="14" t="s">
        <v>281</v>
      </c>
      <c r="U182" s="14" t="s">
        <v>1180</v>
      </c>
      <c r="V182" s="14" t="s">
        <v>84</v>
      </c>
      <c r="W182" s="14" t="s">
        <v>266</v>
      </c>
      <c r="X182" s="14"/>
    </row>
    <row r="183" customFormat="false" ht="90" hidden="false" customHeight="true" outlineLevel="0" collapsed="false">
      <c r="A183" s="13" t="s">
        <v>1181</v>
      </c>
      <c r="B183" s="14" t="s">
        <v>39</v>
      </c>
      <c r="C183" s="14" t="s">
        <v>27</v>
      </c>
      <c r="D183" s="14" t="s">
        <v>920</v>
      </c>
      <c r="E183" s="14" t="s">
        <v>523</v>
      </c>
      <c r="F183" s="14" t="s">
        <v>524</v>
      </c>
      <c r="G183" s="14" t="s">
        <v>245</v>
      </c>
      <c r="H183" s="15" t="n">
        <v>1</v>
      </c>
      <c r="I183" s="15" t="n">
        <v>1100</v>
      </c>
      <c r="J183" s="15" t="n">
        <v>1100</v>
      </c>
      <c r="K183" s="15" t="n">
        <v>400</v>
      </c>
      <c r="L183" s="15" t="n">
        <v>9410</v>
      </c>
      <c r="M183" s="15" t="n">
        <v>10300</v>
      </c>
      <c r="N183" s="15" t="n">
        <v>2750</v>
      </c>
      <c r="O183" s="15" t="n">
        <v>0</v>
      </c>
      <c r="P183" s="14" t="s">
        <v>90</v>
      </c>
      <c r="Q183" s="15" t="s">
        <v>525</v>
      </c>
      <c r="R183" s="14" t="s">
        <v>921</v>
      </c>
      <c r="S183" s="14" t="s">
        <v>1182</v>
      </c>
      <c r="T183" s="14" t="s">
        <v>1183</v>
      </c>
      <c r="U183" s="14" t="s">
        <v>1184</v>
      </c>
      <c r="V183" s="14" t="s">
        <v>84</v>
      </c>
      <c r="W183" s="14" t="s">
        <v>266</v>
      </c>
      <c r="X183" s="14"/>
    </row>
    <row r="184" customFormat="false" ht="90" hidden="false" customHeight="true" outlineLevel="0" collapsed="false">
      <c r="A184" s="13" t="s">
        <v>1185</v>
      </c>
      <c r="B184" s="14" t="s">
        <v>39</v>
      </c>
      <c r="C184" s="14" t="s">
        <v>27</v>
      </c>
      <c r="D184" s="14" t="s">
        <v>925</v>
      </c>
      <c r="E184" s="14" t="s">
        <v>350</v>
      </c>
      <c r="F184" s="14" t="s">
        <v>351</v>
      </c>
      <c r="G184" s="14" t="s">
        <v>158</v>
      </c>
      <c r="H184" s="15" t="n">
        <v>1</v>
      </c>
      <c r="I184" s="15" t="n">
        <v>1668</v>
      </c>
      <c r="J184" s="15" t="n">
        <v>41</v>
      </c>
      <c r="K184" s="15" t="n">
        <v>2700</v>
      </c>
      <c r="L184" s="15" t="n">
        <v>11500</v>
      </c>
      <c r="M184" s="15" t="n">
        <v>11009</v>
      </c>
      <c r="N184" s="15" t="n">
        <v>0</v>
      </c>
      <c r="O184" s="15" t="n">
        <v>90</v>
      </c>
      <c r="P184" s="14" t="s">
        <v>78</v>
      </c>
      <c r="Q184" s="15" t="s">
        <v>532</v>
      </c>
      <c r="R184" s="14" t="s">
        <v>353</v>
      </c>
      <c r="S184" s="14" t="s">
        <v>1186</v>
      </c>
      <c r="T184" s="14" t="s">
        <v>1187</v>
      </c>
      <c r="U184" s="14" t="s">
        <v>1188</v>
      </c>
      <c r="V184" s="14" t="s">
        <v>114</v>
      </c>
      <c r="W184" s="14" t="s">
        <v>266</v>
      </c>
      <c r="X184" s="14"/>
    </row>
    <row r="185" customFormat="false" ht="90" hidden="false" customHeight="true" outlineLevel="0" collapsed="false">
      <c r="A185" s="13" t="s">
        <v>1189</v>
      </c>
      <c r="B185" s="14" t="s">
        <v>39</v>
      </c>
      <c r="C185" s="14" t="s">
        <v>27</v>
      </c>
      <c r="D185" s="14" t="s">
        <v>1190</v>
      </c>
      <c r="E185" s="14" t="s">
        <v>293</v>
      </c>
      <c r="F185" s="14" t="s">
        <v>294</v>
      </c>
      <c r="G185" s="14" t="s">
        <v>77</v>
      </c>
      <c r="H185" s="15" t="n">
        <v>1</v>
      </c>
      <c r="I185" s="15" t="n">
        <v>2400</v>
      </c>
      <c r="J185" s="15" t="n">
        <v>2000</v>
      </c>
      <c r="K185" s="15" t="n">
        <v>12</v>
      </c>
      <c r="L185" s="15" t="n">
        <v>9410</v>
      </c>
      <c r="M185" s="15" t="n">
        <v>10400</v>
      </c>
      <c r="N185" s="15" t="n">
        <v>0</v>
      </c>
      <c r="O185" s="15" t="n">
        <v>0</v>
      </c>
      <c r="P185" s="14" t="s">
        <v>90</v>
      </c>
      <c r="Q185" s="15" t="s">
        <v>538</v>
      </c>
      <c r="R185" s="14" t="s">
        <v>296</v>
      </c>
      <c r="S185" s="14" t="s">
        <v>1191</v>
      </c>
      <c r="T185" s="14" t="s">
        <v>1192</v>
      </c>
      <c r="U185" s="14" t="s">
        <v>1193</v>
      </c>
      <c r="V185" s="14" t="s">
        <v>84</v>
      </c>
      <c r="W185" s="14" t="s">
        <v>266</v>
      </c>
      <c r="X185" s="14"/>
    </row>
    <row r="186" customFormat="false" ht="90" hidden="false" customHeight="true" outlineLevel="0" collapsed="false">
      <c r="A186" s="13" t="s">
        <v>1194</v>
      </c>
      <c r="B186" s="14" t="s">
        <v>39</v>
      </c>
      <c r="C186" s="14" t="s">
        <v>27</v>
      </c>
      <c r="D186" s="14" t="s">
        <v>932</v>
      </c>
      <c r="E186" s="14" t="s">
        <v>302</v>
      </c>
      <c r="F186" s="14" t="s">
        <v>303</v>
      </c>
      <c r="G186" s="14" t="s">
        <v>169</v>
      </c>
      <c r="H186" s="15" t="n">
        <v>1</v>
      </c>
      <c r="I186" s="15" t="n">
        <v>250</v>
      </c>
      <c r="J186" s="15" t="n">
        <v>250</v>
      </c>
      <c r="K186" s="15" t="n">
        <v>150</v>
      </c>
      <c r="L186" s="15" t="n">
        <v>9410</v>
      </c>
      <c r="M186" s="15" t="n">
        <v>8900</v>
      </c>
      <c r="N186" s="15" t="s">
        <v>170</v>
      </c>
      <c r="O186" s="15" t="n">
        <v>0</v>
      </c>
      <c r="P186" s="14" t="s">
        <v>90</v>
      </c>
      <c r="Q186" s="15" t="s">
        <v>933</v>
      </c>
      <c r="R186" s="14"/>
      <c r="S186" s="14" t="s">
        <v>934</v>
      </c>
      <c r="T186" s="14" t="s">
        <v>307</v>
      </c>
      <c r="U186" s="14" t="s">
        <v>1195</v>
      </c>
      <c r="V186" s="14" t="s">
        <v>84</v>
      </c>
      <c r="W186" s="14" t="s">
        <v>266</v>
      </c>
      <c r="X186" s="14"/>
    </row>
    <row r="187" customFormat="false" ht="90" hidden="false" customHeight="true" outlineLevel="0" collapsed="false">
      <c r="A187" s="13" t="s">
        <v>1196</v>
      </c>
      <c r="B187" s="14" t="s">
        <v>40</v>
      </c>
      <c r="C187" s="14" t="s">
        <v>24</v>
      </c>
      <c r="D187" s="14" t="s">
        <v>1197</v>
      </c>
      <c r="E187" s="14" t="s">
        <v>675</v>
      </c>
      <c r="F187" s="14" t="s">
        <v>676</v>
      </c>
      <c r="G187" s="14" t="s">
        <v>158</v>
      </c>
      <c r="H187" s="15" t="n">
        <v>1</v>
      </c>
      <c r="I187" s="15" t="n">
        <v>1155</v>
      </c>
      <c r="J187" s="15" t="n">
        <v>505</v>
      </c>
      <c r="K187" s="15" t="n">
        <v>850</v>
      </c>
      <c r="L187" s="15" t="n">
        <v>7260</v>
      </c>
      <c r="M187" s="15" t="n">
        <v>11618</v>
      </c>
      <c r="N187" s="15" t="n">
        <v>0</v>
      </c>
      <c r="O187" s="15" t="n">
        <v>90</v>
      </c>
      <c r="P187" s="14" t="s">
        <v>90</v>
      </c>
      <c r="Q187" s="15" t="s">
        <v>1001</v>
      </c>
      <c r="R187" s="14" t="s">
        <v>678</v>
      </c>
      <c r="S187" s="14" t="s">
        <v>1198</v>
      </c>
      <c r="T187" s="14" t="s">
        <v>1199</v>
      </c>
      <c r="U187" s="14" t="s">
        <v>1200</v>
      </c>
      <c r="V187" s="14" t="s">
        <v>84</v>
      </c>
      <c r="W187" s="14" t="s">
        <v>85</v>
      </c>
      <c r="X187" s="14"/>
    </row>
    <row r="188" customFormat="false" ht="90" hidden="false" customHeight="true" outlineLevel="0" collapsed="false">
      <c r="A188" s="13" t="s">
        <v>1201</v>
      </c>
      <c r="B188" s="14" t="s">
        <v>40</v>
      </c>
      <c r="C188" s="14" t="s">
        <v>24</v>
      </c>
      <c r="D188" s="14" t="s">
        <v>1006</v>
      </c>
      <c r="E188" s="14" t="s">
        <v>684</v>
      </c>
      <c r="F188" s="14" t="s">
        <v>685</v>
      </c>
      <c r="G188" s="14" t="s">
        <v>158</v>
      </c>
      <c r="H188" s="15" t="n">
        <v>1</v>
      </c>
      <c r="I188" s="15" t="n">
        <v>540</v>
      </c>
      <c r="J188" s="15" t="n">
        <v>380</v>
      </c>
      <c r="K188" s="15" t="n">
        <v>400</v>
      </c>
      <c r="L188" s="15" t="n">
        <v>6540</v>
      </c>
      <c r="M188" s="15" t="n">
        <v>11925</v>
      </c>
      <c r="N188" s="15" t="n">
        <v>0</v>
      </c>
      <c r="O188" s="15" t="n">
        <v>90</v>
      </c>
      <c r="P188" s="14" t="s">
        <v>90</v>
      </c>
      <c r="Q188" s="15" t="s">
        <v>686</v>
      </c>
      <c r="R188" s="14" t="s">
        <v>1007</v>
      </c>
      <c r="S188" s="14" t="s">
        <v>1202</v>
      </c>
      <c r="T188" s="14" t="s">
        <v>1203</v>
      </c>
      <c r="U188" s="14" t="s">
        <v>1204</v>
      </c>
      <c r="V188" s="14" t="s">
        <v>84</v>
      </c>
      <c r="W188" s="14" t="s">
        <v>85</v>
      </c>
      <c r="X188" s="14"/>
    </row>
    <row r="189" customFormat="false" ht="90" hidden="false" customHeight="true" outlineLevel="0" collapsed="false">
      <c r="A189" s="13" t="s">
        <v>1205</v>
      </c>
      <c r="B189" s="14" t="s">
        <v>40</v>
      </c>
      <c r="C189" s="14" t="s">
        <v>24</v>
      </c>
      <c r="D189" s="14" t="s">
        <v>1206</v>
      </c>
      <c r="E189" s="14" t="s">
        <v>693</v>
      </c>
      <c r="F189" s="14" t="s">
        <v>694</v>
      </c>
      <c r="G189" s="14" t="s">
        <v>77</v>
      </c>
      <c r="H189" s="15" t="n">
        <v>1</v>
      </c>
      <c r="I189" s="15" t="n">
        <v>1000</v>
      </c>
      <c r="J189" s="15" t="n">
        <v>955</v>
      </c>
      <c r="K189" s="15" t="n">
        <v>2100</v>
      </c>
      <c r="L189" s="15" t="n">
        <v>5750</v>
      </c>
      <c r="M189" s="15" t="n">
        <v>11718</v>
      </c>
      <c r="N189" s="15" t="n">
        <v>0</v>
      </c>
      <c r="O189" s="15" t="n">
        <v>0</v>
      </c>
      <c r="P189" s="14" t="s">
        <v>90</v>
      </c>
      <c r="Q189" s="15" t="s">
        <v>695</v>
      </c>
      <c r="R189" s="14" t="s">
        <v>696</v>
      </c>
      <c r="S189" s="14" t="s">
        <v>1207</v>
      </c>
      <c r="T189" s="14" t="s">
        <v>1208</v>
      </c>
      <c r="U189" s="14" t="s">
        <v>1209</v>
      </c>
      <c r="V189" s="14" t="s">
        <v>114</v>
      </c>
      <c r="W189" s="14" t="s">
        <v>85</v>
      </c>
      <c r="X189" s="14"/>
    </row>
    <row r="190" customFormat="false" ht="90" hidden="false" customHeight="true" outlineLevel="0" collapsed="false">
      <c r="A190" s="13" t="s">
        <v>1210</v>
      </c>
      <c r="B190" s="14" t="s">
        <v>40</v>
      </c>
      <c r="C190" s="14" t="s">
        <v>24</v>
      </c>
      <c r="D190" s="14" t="s">
        <v>1211</v>
      </c>
      <c r="E190" s="14" t="s">
        <v>1212</v>
      </c>
      <c r="F190" s="14" t="s">
        <v>1213</v>
      </c>
      <c r="G190" s="14" t="s">
        <v>77</v>
      </c>
      <c r="H190" s="15" t="n">
        <v>1</v>
      </c>
      <c r="I190" s="15" t="n">
        <v>1500</v>
      </c>
      <c r="J190" s="15" t="n">
        <v>750</v>
      </c>
      <c r="K190" s="15" t="n">
        <v>560</v>
      </c>
      <c r="L190" s="15" t="n">
        <v>4675</v>
      </c>
      <c r="M190" s="15" t="n">
        <v>11270</v>
      </c>
      <c r="N190" s="15" t="n">
        <v>0</v>
      </c>
      <c r="O190" s="15" t="n">
        <v>90</v>
      </c>
      <c r="P190" s="14" t="s">
        <v>90</v>
      </c>
      <c r="Q190" s="15" t="s">
        <v>1214</v>
      </c>
      <c r="R190" s="14" t="s">
        <v>1215</v>
      </c>
      <c r="S190" s="14" t="s">
        <v>1216</v>
      </c>
      <c r="T190" s="14" t="s">
        <v>1217</v>
      </c>
      <c r="U190" s="14" t="s">
        <v>1218</v>
      </c>
      <c r="V190" s="14" t="s">
        <v>84</v>
      </c>
      <c r="W190" s="14" t="s">
        <v>85</v>
      </c>
      <c r="X190" s="14"/>
    </row>
    <row r="191" customFormat="false" ht="90" hidden="false" customHeight="true" outlineLevel="0" collapsed="false">
      <c r="A191" s="13" t="s">
        <v>1219</v>
      </c>
      <c r="B191" s="14" t="s">
        <v>40</v>
      </c>
      <c r="C191" s="14" t="s">
        <v>24</v>
      </c>
      <c r="D191" s="14" t="s">
        <v>1220</v>
      </c>
      <c r="E191" s="14" t="s">
        <v>711</v>
      </c>
      <c r="F191" s="14" t="s">
        <v>712</v>
      </c>
      <c r="G191" s="14" t="s">
        <v>77</v>
      </c>
      <c r="H191" s="15" t="n">
        <v>1</v>
      </c>
      <c r="I191" s="15" t="n">
        <v>400</v>
      </c>
      <c r="J191" s="15" t="n">
        <v>400</v>
      </c>
      <c r="K191" s="15" t="n">
        <v>2100</v>
      </c>
      <c r="L191" s="15" t="n">
        <v>5500</v>
      </c>
      <c r="M191" s="15" t="n">
        <v>10496</v>
      </c>
      <c r="N191" s="15" t="n">
        <v>0</v>
      </c>
      <c r="O191" s="15" t="n">
        <v>0</v>
      </c>
      <c r="P191" s="14" t="s">
        <v>90</v>
      </c>
      <c r="Q191" s="15" t="s">
        <v>1221</v>
      </c>
      <c r="R191" s="14" t="s">
        <v>353</v>
      </c>
      <c r="S191" s="14" t="s">
        <v>1222</v>
      </c>
      <c r="T191" s="14" t="s">
        <v>1223</v>
      </c>
      <c r="U191" s="14" t="s">
        <v>1224</v>
      </c>
      <c r="V191" s="14" t="s">
        <v>84</v>
      </c>
      <c r="W191" s="14" t="s">
        <v>85</v>
      </c>
      <c r="X191" s="14"/>
    </row>
    <row r="192" customFormat="false" ht="90" hidden="false" customHeight="true" outlineLevel="0" collapsed="false">
      <c r="A192" s="13" t="s">
        <v>1225</v>
      </c>
      <c r="B192" s="14" t="s">
        <v>40</v>
      </c>
      <c r="C192" s="14" t="s">
        <v>24</v>
      </c>
      <c r="D192" s="14" t="s">
        <v>1016</v>
      </c>
      <c r="E192" s="14" t="s">
        <v>720</v>
      </c>
      <c r="F192" s="14" t="s">
        <v>721</v>
      </c>
      <c r="G192" s="14" t="s">
        <v>158</v>
      </c>
      <c r="H192" s="15" t="n">
        <v>1</v>
      </c>
      <c r="I192" s="15" t="n">
        <v>400</v>
      </c>
      <c r="J192" s="15" t="n">
        <v>40</v>
      </c>
      <c r="K192" s="15" t="n">
        <v>400</v>
      </c>
      <c r="L192" s="15" t="n">
        <v>5500</v>
      </c>
      <c r="M192" s="15" t="n">
        <v>12175</v>
      </c>
      <c r="N192" s="15" t="n">
        <v>0</v>
      </c>
      <c r="O192" s="15" t="n">
        <v>180</v>
      </c>
      <c r="P192" s="14" t="s">
        <v>159</v>
      </c>
      <c r="Q192" s="15" t="s">
        <v>1017</v>
      </c>
      <c r="R192" s="14"/>
      <c r="S192" s="14" t="s">
        <v>1226</v>
      </c>
      <c r="T192" s="14" t="s">
        <v>1227</v>
      </c>
      <c r="U192" s="14" t="s">
        <v>1228</v>
      </c>
      <c r="V192" s="14" t="s">
        <v>84</v>
      </c>
      <c r="W192" s="14" t="s">
        <v>85</v>
      </c>
      <c r="X192" s="14"/>
    </row>
    <row r="193" customFormat="false" ht="90" hidden="false" customHeight="true" outlineLevel="0" collapsed="false">
      <c r="A193" s="13" t="s">
        <v>1229</v>
      </c>
      <c r="B193" s="14" t="s">
        <v>40</v>
      </c>
      <c r="C193" s="14" t="s">
        <v>25</v>
      </c>
      <c r="D193" s="14" t="s">
        <v>1024</v>
      </c>
      <c r="E193" s="14" t="s">
        <v>481</v>
      </c>
      <c r="F193" s="14" t="s">
        <v>482</v>
      </c>
      <c r="G193" s="14" t="s">
        <v>158</v>
      </c>
      <c r="H193" s="15" t="n">
        <v>1</v>
      </c>
      <c r="I193" s="15" t="n">
        <v>1000</v>
      </c>
      <c r="J193" s="15" t="n">
        <v>40</v>
      </c>
      <c r="K193" s="15" t="n">
        <v>900</v>
      </c>
      <c r="L193" s="15" t="n">
        <v>7493</v>
      </c>
      <c r="M193" s="15" t="n">
        <v>11640</v>
      </c>
      <c r="N193" s="15" t="n">
        <v>1050</v>
      </c>
      <c r="O193" s="15" t="n">
        <v>90</v>
      </c>
      <c r="P193" s="14" t="s">
        <v>78</v>
      </c>
      <c r="Q193" s="15" t="s">
        <v>734</v>
      </c>
      <c r="R193" s="14"/>
      <c r="S193" s="14" t="s">
        <v>1230</v>
      </c>
      <c r="T193" s="14" t="s">
        <v>1231</v>
      </c>
      <c r="U193" s="14" t="s">
        <v>1232</v>
      </c>
      <c r="V193" s="14" t="s">
        <v>84</v>
      </c>
      <c r="W193" s="14" t="s">
        <v>164</v>
      </c>
      <c r="X193" s="14"/>
    </row>
    <row r="194" customFormat="false" ht="90" hidden="false" customHeight="true" outlineLevel="0" collapsed="false">
      <c r="A194" s="13" t="s">
        <v>1233</v>
      </c>
      <c r="B194" s="14" t="s">
        <v>40</v>
      </c>
      <c r="C194" s="14" t="s">
        <v>25</v>
      </c>
      <c r="D194" s="14" t="s">
        <v>1234</v>
      </c>
      <c r="E194" s="14" t="s">
        <v>720</v>
      </c>
      <c r="F194" s="14" t="s">
        <v>721</v>
      </c>
      <c r="G194" s="14" t="s">
        <v>158</v>
      </c>
      <c r="H194" s="15" t="n">
        <v>1</v>
      </c>
      <c r="I194" s="15" t="n">
        <v>400</v>
      </c>
      <c r="J194" s="15" t="n">
        <v>40</v>
      </c>
      <c r="K194" s="15" t="n">
        <v>400</v>
      </c>
      <c r="L194" s="15" t="n">
        <v>6000</v>
      </c>
      <c r="M194" s="15" t="n">
        <v>12175</v>
      </c>
      <c r="N194" s="15" t="n">
        <v>0</v>
      </c>
      <c r="O194" s="15" t="n">
        <v>180</v>
      </c>
      <c r="P194" s="14" t="s">
        <v>159</v>
      </c>
      <c r="Q194" s="15" t="s">
        <v>1045</v>
      </c>
      <c r="R194" s="14" t="s">
        <v>741</v>
      </c>
      <c r="S194" s="14" t="s">
        <v>1235</v>
      </c>
      <c r="T194" s="14" t="s">
        <v>1227</v>
      </c>
      <c r="U194" s="14" t="s">
        <v>1236</v>
      </c>
      <c r="V194" s="14" t="s">
        <v>84</v>
      </c>
      <c r="W194" s="14" t="s">
        <v>164</v>
      </c>
      <c r="X194" s="14"/>
    </row>
    <row r="195" customFormat="false" ht="90" hidden="false" customHeight="true" outlineLevel="0" collapsed="false">
      <c r="A195" s="13" t="s">
        <v>1237</v>
      </c>
      <c r="B195" s="14" t="s">
        <v>40</v>
      </c>
      <c r="C195" s="14" t="s">
        <v>25</v>
      </c>
      <c r="D195" s="14" t="s">
        <v>1029</v>
      </c>
      <c r="E195" s="14" t="s">
        <v>167</v>
      </c>
      <c r="F195" s="14" t="s">
        <v>168</v>
      </c>
      <c r="G195" s="14" t="s">
        <v>169</v>
      </c>
      <c r="H195" s="15" t="n">
        <v>1</v>
      </c>
      <c r="I195" s="15" t="n">
        <v>250</v>
      </c>
      <c r="J195" s="15" t="n">
        <v>250</v>
      </c>
      <c r="K195" s="15" t="n">
        <v>150</v>
      </c>
      <c r="L195" s="15" t="n">
        <v>7260</v>
      </c>
      <c r="M195" s="15" t="n">
        <v>11300</v>
      </c>
      <c r="N195" s="15" t="s">
        <v>170</v>
      </c>
      <c r="O195" s="15" t="n">
        <v>0</v>
      </c>
      <c r="P195" s="14" t="s">
        <v>90</v>
      </c>
      <c r="Q195" s="15" t="s">
        <v>1030</v>
      </c>
      <c r="R195" s="14" t="s">
        <v>196</v>
      </c>
      <c r="S195" s="14" t="s">
        <v>1031</v>
      </c>
      <c r="T195" s="14" t="s">
        <v>174</v>
      </c>
      <c r="U195" s="14" t="s">
        <v>1238</v>
      </c>
      <c r="V195" s="14" t="s">
        <v>84</v>
      </c>
      <c r="W195" s="14" t="s">
        <v>164</v>
      </c>
      <c r="X195" s="14"/>
    </row>
    <row r="196" customFormat="false" ht="90" hidden="false" customHeight="true" outlineLevel="0" collapsed="false">
      <c r="A196" s="13" t="s">
        <v>1239</v>
      </c>
      <c r="B196" s="14" t="s">
        <v>40</v>
      </c>
      <c r="C196" s="14" t="s">
        <v>25</v>
      </c>
      <c r="D196" s="14" t="s">
        <v>1240</v>
      </c>
      <c r="E196" s="14" t="s">
        <v>167</v>
      </c>
      <c r="F196" s="14" t="s">
        <v>168</v>
      </c>
      <c r="G196" s="14" t="s">
        <v>169</v>
      </c>
      <c r="H196" s="15" t="n">
        <v>1</v>
      </c>
      <c r="I196" s="15" t="n">
        <v>250</v>
      </c>
      <c r="J196" s="15" t="n">
        <v>250</v>
      </c>
      <c r="K196" s="15" t="n">
        <v>150</v>
      </c>
      <c r="L196" s="15" t="n">
        <v>5180</v>
      </c>
      <c r="M196" s="15" t="n">
        <v>10700</v>
      </c>
      <c r="N196" s="15" t="s">
        <v>170</v>
      </c>
      <c r="O196" s="15" t="n">
        <v>0</v>
      </c>
      <c r="P196" s="14" t="s">
        <v>90</v>
      </c>
      <c r="Q196" s="15" t="s">
        <v>440</v>
      </c>
      <c r="R196" s="14" t="s">
        <v>1241</v>
      </c>
      <c r="S196" s="14" t="s">
        <v>1242</v>
      </c>
      <c r="T196" s="14" t="s">
        <v>174</v>
      </c>
      <c r="U196" s="14" t="s">
        <v>1243</v>
      </c>
      <c r="V196" s="14" t="s">
        <v>84</v>
      </c>
      <c r="W196" s="14" t="s">
        <v>164</v>
      </c>
      <c r="X196" s="14"/>
    </row>
    <row r="197" customFormat="false" ht="90" hidden="false" customHeight="true" outlineLevel="0" collapsed="false">
      <c r="A197" s="13" t="s">
        <v>1244</v>
      </c>
      <c r="B197" s="14" t="s">
        <v>40</v>
      </c>
      <c r="C197" s="14" t="s">
        <v>25</v>
      </c>
      <c r="D197" s="14" t="s">
        <v>753</v>
      </c>
      <c r="E197" s="14" t="s">
        <v>302</v>
      </c>
      <c r="F197" s="14" t="s">
        <v>303</v>
      </c>
      <c r="G197" s="14" t="s">
        <v>169</v>
      </c>
      <c r="H197" s="15" t="n">
        <v>1</v>
      </c>
      <c r="I197" s="15" t="n">
        <v>250</v>
      </c>
      <c r="J197" s="15" t="n">
        <v>250</v>
      </c>
      <c r="K197" s="15" t="n">
        <v>150</v>
      </c>
      <c r="L197" s="15" t="n">
        <v>5500</v>
      </c>
      <c r="M197" s="15" t="n">
        <v>10496</v>
      </c>
      <c r="N197" s="15" t="s">
        <v>170</v>
      </c>
      <c r="O197" s="15" t="n">
        <v>0</v>
      </c>
      <c r="P197" s="14" t="s">
        <v>90</v>
      </c>
      <c r="Q197" s="15" t="s">
        <v>754</v>
      </c>
      <c r="R197" s="14"/>
      <c r="S197" s="14" t="s">
        <v>755</v>
      </c>
      <c r="T197" s="14" t="s">
        <v>307</v>
      </c>
      <c r="U197" s="14" t="s">
        <v>1245</v>
      </c>
      <c r="V197" s="14" t="s">
        <v>84</v>
      </c>
      <c r="W197" s="14" t="s">
        <v>164</v>
      </c>
      <c r="X197" s="14"/>
    </row>
    <row r="198" customFormat="false" ht="90" hidden="false" customHeight="true" outlineLevel="0" collapsed="false">
      <c r="A198" s="13" t="s">
        <v>1246</v>
      </c>
      <c r="B198" s="14" t="s">
        <v>40</v>
      </c>
      <c r="C198" s="14" t="s">
        <v>25</v>
      </c>
      <c r="D198" s="14" t="s">
        <v>1034</v>
      </c>
      <c r="E198" s="14" t="s">
        <v>331</v>
      </c>
      <c r="F198" s="14" t="s">
        <v>332</v>
      </c>
      <c r="G198" s="14" t="s">
        <v>77</v>
      </c>
      <c r="H198" s="15" t="n">
        <v>1</v>
      </c>
      <c r="I198" s="15" t="n">
        <v>250</v>
      </c>
      <c r="J198" s="15" t="n">
        <v>250</v>
      </c>
      <c r="K198" s="15" t="n">
        <v>600</v>
      </c>
      <c r="L198" s="15" t="n">
        <v>6500</v>
      </c>
      <c r="M198" s="15" t="n">
        <v>10500</v>
      </c>
      <c r="N198" s="15" t="n">
        <v>0</v>
      </c>
      <c r="O198" s="15" t="n">
        <v>0</v>
      </c>
      <c r="P198" s="14" t="s">
        <v>90</v>
      </c>
      <c r="Q198" s="15" t="s">
        <v>333</v>
      </c>
      <c r="R198" s="14" t="s">
        <v>334</v>
      </c>
      <c r="S198" s="14" t="s">
        <v>1035</v>
      </c>
      <c r="T198" s="14" t="s">
        <v>1036</v>
      </c>
      <c r="U198" s="14" t="s">
        <v>1247</v>
      </c>
      <c r="V198" s="14" t="s">
        <v>114</v>
      </c>
      <c r="W198" s="14" t="s">
        <v>164</v>
      </c>
      <c r="X198" s="14"/>
    </row>
    <row r="199" customFormat="false" ht="90" hidden="false" customHeight="true" outlineLevel="0" collapsed="false">
      <c r="A199" s="13" t="s">
        <v>1248</v>
      </c>
      <c r="B199" s="14" t="s">
        <v>40</v>
      </c>
      <c r="C199" s="14" t="s">
        <v>26</v>
      </c>
      <c r="D199" s="14" t="s">
        <v>760</v>
      </c>
      <c r="E199" s="14" t="s">
        <v>629</v>
      </c>
      <c r="F199" s="14" t="s">
        <v>630</v>
      </c>
      <c r="G199" s="14" t="s">
        <v>218</v>
      </c>
      <c r="H199" s="15" t="n">
        <v>1</v>
      </c>
      <c r="I199" s="15" t="n">
        <v>3320</v>
      </c>
      <c r="J199" s="15" t="n">
        <v>1989</v>
      </c>
      <c r="K199" s="15" t="n">
        <v>0</v>
      </c>
      <c r="L199" s="15" t="n">
        <v>5898</v>
      </c>
      <c r="M199" s="15" t="n">
        <v>11246</v>
      </c>
      <c r="N199" s="15" t="n">
        <v>0</v>
      </c>
      <c r="O199" s="15" t="n">
        <v>0</v>
      </c>
      <c r="P199" s="14" t="s">
        <v>90</v>
      </c>
      <c r="Q199" s="15" t="s">
        <v>761</v>
      </c>
      <c r="R199" s="14" t="s">
        <v>762</v>
      </c>
      <c r="S199" s="14" t="s">
        <v>1249</v>
      </c>
      <c r="T199" s="14" t="s">
        <v>1250</v>
      </c>
      <c r="U199" s="14" t="s">
        <v>1251</v>
      </c>
      <c r="V199" s="14" t="s">
        <v>84</v>
      </c>
      <c r="W199" s="14" t="s">
        <v>213</v>
      </c>
      <c r="X199" s="14"/>
    </row>
    <row r="200" customFormat="false" ht="90" hidden="false" customHeight="true" outlineLevel="0" collapsed="false">
      <c r="A200" s="13" t="s">
        <v>1252</v>
      </c>
      <c r="B200" s="14" t="s">
        <v>40</v>
      </c>
      <c r="C200" s="14" t="s">
        <v>26</v>
      </c>
      <c r="D200" s="14" t="s">
        <v>1253</v>
      </c>
      <c r="E200" s="14" t="s">
        <v>235</v>
      </c>
      <c r="F200" s="14" t="s">
        <v>236</v>
      </c>
      <c r="G200" s="14" t="s">
        <v>158</v>
      </c>
      <c r="H200" s="15" t="n">
        <v>1</v>
      </c>
      <c r="I200" s="15" t="n">
        <v>1740</v>
      </c>
      <c r="J200" s="15" t="n">
        <v>40</v>
      </c>
      <c r="K200" s="15" t="n">
        <v>2700</v>
      </c>
      <c r="L200" s="15" t="n">
        <v>4270</v>
      </c>
      <c r="M200" s="15" t="n">
        <v>11270</v>
      </c>
      <c r="N200" s="15" t="n">
        <v>0</v>
      </c>
      <c r="O200" s="15" t="n">
        <v>270</v>
      </c>
      <c r="P200" s="14" t="s">
        <v>120</v>
      </c>
      <c r="Q200" s="15" t="s">
        <v>768</v>
      </c>
      <c r="R200" s="14" t="s">
        <v>1254</v>
      </c>
      <c r="S200" s="14" t="s">
        <v>1255</v>
      </c>
      <c r="T200" s="14" t="s">
        <v>1256</v>
      </c>
      <c r="U200" s="14" t="s">
        <v>1257</v>
      </c>
      <c r="V200" s="14" t="s">
        <v>84</v>
      </c>
      <c r="W200" s="14" t="s">
        <v>213</v>
      </c>
      <c r="X200" s="14"/>
    </row>
    <row r="201" customFormat="false" ht="90" hidden="false" customHeight="true" outlineLevel="0" collapsed="false">
      <c r="A201" s="13" t="s">
        <v>1258</v>
      </c>
      <c r="B201" s="14" t="s">
        <v>40</v>
      </c>
      <c r="C201" s="14" t="s">
        <v>26</v>
      </c>
      <c r="D201" s="14" t="s">
        <v>1259</v>
      </c>
      <c r="E201" s="14" t="s">
        <v>216</v>
      </c>
      <c r="F201" s="14" t="s">
        <v>217</v>
      </c>
      <c r="G201" s="14" t="s">
        <v>218</v>
      </c>
      <c r="H201" s="15" t="n">
        <v>1</v>
      </c>
      <c r="I201" s="15" t="n">
        <v>3320</v>
      </c>
      <c r="J201" s="15" t="n">
        <v>1989</v>
      </c>
      <c r="K201" s="15" t="n">
        <v>15</v>
      </c>
      <c r="L201" s="15" t="n">
        <v>5898</v>
      </c>
      <c r="M201" s="15" t="n">
        <v>11246</v>
      </c>
      <c r="N201" s="15" t="n">
        <v>0</v>
      </c>
      <c r="O201" s="15" t="n">
        <v>0</v>
      </c>
      <c r="P201" s="14" t="s">
        <v>90</v>
      </c>
      <c r="Q201" s="15" t="s">
        <v>1051</v>
      </c>
      <c r="R201" s="14" t="s">
        <v>775</v>
      </c>
      <c r="S201" s="14" t="s">
        <v>1260</v>
      </c>
      <c r="T201" s="14" t="s">
        <v>1261</v>
      </c>
      <c r="U201" s="14" t="s">
        <v>1262</v>
      </c>
      <c r="V201" s="14" t="s">
        <v>84</v>
      </c>
      <c r="W201" s="14" t="s">
        <v>213</v>
      </c>
      <c r="X201" s="14"/>
    </row>
    <row r="202" customFormat="false" ht="90" hidden="false" customHeight="true" outlineLevel="0" collapsed="false">
      <c r="A202" s="13" t="s">
        <v>1263</v>
      </c>
      <c r="B202" s="14" t="s">
        <v>40</v>
      </c>
      <c r="C202" s="14" t="s">
        <v>26</v>
      </c>
      <c r="D202" s="14" t="s">
        <v>1264</v>
      </c>
      <c r="E202" s="14" t="s">
        <v>167</v>
      </c>
      <c r="F202" s="14" t="s">
        <v>168</v>
      </c>
      <c r="G202" s="14" t="s">
        <v>169</v>
      </c>
      <c r="H202" s="15" t="n">
        <v>1</v>
      </c>
      <c r="I202" s="15" t="n">
        <v>120</v>
      </c>
      <c r="J202" s="15" t="n">
        <v>120</v>
      </c>
      <c r="K202" s="15" t="n">
        <v>1000</v>
      </c>
      <c r="L202" s="15" t="n">
        <v>5180</v>
      </c>
      <c r="M202" s="15" t="n">
        <v>11270</v>
      </c>
      <c r="N202" s="15" t="s">
        <v>170</v>
      </c>
      <c r="O202" s="15" t="n">
        <v>0</v>
      </c>
      <c r="P202" s="14" t="s">
        <v>90</v>
      </c>
      <c r="Q202" s="15" t="s">
        <v>1265</v>
      </c>
      <c r="R202" s="14" t="s">
        <v>687</v>
      </c>
      <c r="S202" s="14" t="s">
        <v>1266</v>
      </c>
      <c r="T202" s="14" t="s">
        <v>1267</v>
      </c>
      <c r="U202" s="14" t="s">
        <v>1268</v>
      </c>
      <c r="V202" s="14" t="s">
        <v>84</v>
      </c>
      <c r="W202" s="14" t="s">
        <v>213</v>
      </c>
      <c r="X202" s="14"/>
    </row>
    <row r="203" customFormat="false" ht="90" hidden="false" customHeight="true" outlineLevel="0" collapsed="false">
      <c r="A203" s="13" t="s">
        <v>1269</v>
      </c>
      <c r="B203" s="14" t="s">
        <v>40</v>
      </c>
      <c r="C203" s="14" t="s">
        <v>27</v>
      </c>
      <c r="D203" s="14" t="s">
        <v>1270</v>
      </c>
      <c r="E203" s="14" t="s">
        <v>277</v>
      </c>
      <c r="F203" s="14" t="s">
        <v>278</v>
      </c>
      <c r="G203" s="14" t="s">
        <v>158</v>
      </c>
      <c r="H203" s="15" t="n">
        <v>1</v>
      </c>
      <c r="I203" s="15" t="n">
        <v>180</v>
      </c>
      <c r="J203" s="15" t="n">
        <v>180</v>
      </c>
      <c r="K203" s="15" t="n">
        <v>200</v>
      </c>
      <c r="L203" s="15" t="n">
        <v>7450</v>
      </c>
      <c r="M203" s="15" t="n">
        <v>11050</v>
      </c>
      <c r="N203" s="15" t="n">
        <v>1500</v>
      </c>
      <c r="O203" s="15" t="n">
        <v>0</v>
      </c>
      <c r="P203" s="14" t="s">
        <v>90</v>
      </c>
      <c r="Q203" s="15" t="s">
        <v>786</v>
      </c>
      <c r="R203" s="14"/>
      <c r="S203" s="14" t="s">
        <v>1271</v>
      </c>
      <c r="T203" s="14" t="s">
        <v>788</v>
      </c>
      <c r="U203" s="14" t="s">
        <v>1272</v>
      </c>
      <c r="V203" s="14" t="s">
        <v>84</v>
      </c>
      <c r="W203" s="14" t="s">
        <v>266</v>
      </c>
      <c r="X203" s="14"/>
    </row>
    <row r="204" customFormat="false" ht="90" hidden="false" customHeight="true" outlineLevel="0" collapsed="false">
      <c r="A204" s="13" t="s">
        <v>1273</v>
      </c>
      <c r="B204" s="14" t="s">
        <v>40</v>
      </c>
      <c r="C204" s="14" t="s">
        <v>27</v>
      </c>
      <c r="D204" s="14" t="s">
        <v>791</v>
      </c>
      <c r="E204" s="14" t="s">
        <v>359</v>
      </c>
      <c r="F204" s="14" t="s">
        <v>360</v>
      </c>
      <c r="G204" s="14" t="s">
        <v>169</v>
      </c>
      <c r="H204" s="15" t="n">
        <v>1</v>
      </c>
      <c r="I204" s="15" t="n">
        <v>1000</v>
      </c>
      <c r="J204" s="15" t="n">
        <v>40</v>
      </c>
      <c r="K204" s="15" t="n">
        <v>10</v>
      </c>
      <c r="L204" s="15" t="n">
        <v>7470</v>
      </c>
      <c r="M204" s="15" t="n">
        <v>11640</v>
      </c>
      <c r="N204" s="15" t="s">
        <v>170</v>
      </c>
      <c r="O204" s="15" t="n">
        <v>0</v>
      </c>
      <c r="P204" s="14" t="s">
        <v>90</v>
      </c>
      <c r="Q204" s="15" t="s">
        <v>361</v>
      </c>
      <c r="R204" s="14"/>
      <c r="S204" s="14" t="s">
        <v>1274</v>
      </c>
      <c r="T204" s="14" t="s">
        <v>1275</v>
      </c>
      <c r="U204" s="14" t="s">
        <v>1276</v>
      </c>
      <c r="V204" s="14" t="s">
        <v>84</v>
      </c>
      <c r="W204" s="14" t="s">
        <v>266</v>
      </c>
      <c r="X204" s="14"/>
    </row>
    <row r="205" customFormat="false" ht="90" hidden="false" customHeight="true" outlineLevel="0" collapsed="false">
      <c r="A205" s="13" t="s">
        <v>1277</v>
      </c>
      <c r="B205" s="14" t="s">
        <v>40</v>
      </c>
      <c r="C205" s="14" t="s">
        <v>27</v>
      </c>
      <c r="D205" s="14" t="s">
        <v>1278</v>
      </c>
      <c r="E205" s="14" t="s">
        <v>167</v>
      </c>
      <c r="F205" s="14" t="s">
        <v>168</v>
      </c>
      <c r="G205" s="14" t="s">
        <v>169</v>
      </c>
      <c r="H205" s="15" t="n">
        <v>1</v>
      </c>
      <c r="I205" s="15" t="n">
        <v>600</v>
      </c>
      <c r="J205" s="15" t="n">
        <v>40</v>
      </c>
      <c r="K205" s="15" t="n">
        <v>900</v>
      </c>
      <c r="L205" s="15" t="n">
        <v>6200</v>
      </c>
      <c r="M205" s="15" t="n">
        <v>10271</v>
      </c>
      <c r="N205" s="15" t="s">
        <v>170</v>
      </c>
      <c r="O205" s="15" t="n">
        <v>0</v>
      </c>
      <c r="P205" s="14" t="s">
        <v>183</v>
      </c>
      <c r="Q205" s="15" t="s">
        <v>1069</v>
      </c>
      <c r="R205" s="14" t="s">
        <v>196</v>
      </c>
      <c r="S205" s="14" t="s">
        <v>1279</v>
      </c>
      <c r="T205" s="14" t="s">
        <v>1280</v>
      </c>
      <c r="U205" s="14" t="s">
        <v>1281</v>
      </c>
      <c r="V205" s="14" t="s">
        <v>84</v>
      </c>
      <c r="W205" s="14" t="s">
        <v>266</v>
      </c>
      <c r="X205" s="14"/>
    </row>
    <row r="206" customFormat="false" ht="90" hidden="false" customHeight="true" outlineLevel="0" collapsed="false">
      <c r="A206" s="13" t="s">
        <v>1282</v>
      </c>
      <c r="B206" s="14" t="s">
        <v>40</v>
      </c>
      <c r="C206" s="14" t="s">
        <v>27</v>
      </c>
      <c r="D206" s="14" t="s">
        <v>1074</v>
      </c>
      <c r="E206" s="14" t="s">
        <v>302</v>
      </c>
      <c r="F206" s="14" t="s">
        <v>303</v>
      </c>
      <c r="G206" s="14" t="s">
        <v>169</v>
      </c>
      <c r="H206" s="15" t="n">
        <v>1</v>
      </c>
      <c r="I206" s="15" t="n">
        <v>250</v>
      </c>
      <c r="J206" s="15" t="n">
        <v>250</v>
      </c>
      <c r="K206" s="15" t="n">
        <v>150</v>
      </c>
      <c r="L206" s="15" t="n">
        <v>6200</v>
      </c>
      <c r="M206" s="15" t="n">
        <v>10450</v>
      </c>
      <c r="N206" s="15" t="s">
        <v>170</v>
      </c>
      <c r="O206" s="15" t="n">
        <v>0</v>
      </c>
      <c r="P206" s="14" t="s">
        <v>90</v>
      </c>
      <c r="Q206" s="15" t="s">
        <v>754</v>
      </c>
      <c r="R206" s="14"/>
      <c r="S206" s="14" t="s">
        <v>1075</v>
      </c>
      <c r="T206" s="14" t="s">
        <v>307</v>
      </c>
      <c r="U206" s="14" t="s">
        <v>1283</v>
      </c>
      <c r="V206" s="14" t="s">
        <v>84</v>
      </c>
      <c r="W206" s="14" t="s">
        <v>266</v>
      </c>
      <c r="X206" s="14"/>
    </row>
    <row r="207" customFormat="false" ht="90" hidden="false" customHeight="true" outlineLevel="0" collapsed="false">
      <c r="A207" s="13" t="s">
        <v>1284</v>
      </c>
      <c r="B207" s="14" t="s">
        <v>40</v>
      </c>
      <c r="C207" s="14" t="s">
        <v>27</v>
      </c>
      <c r="D207" s="14" t="s">
        <v>818</v>
      </c>
      <c r="E207" s="14" t="s">
        <v>293</v>
      </c>
      <c r="F207" s="14" t="s">
        <v>294</v>
      </c>
      <c r="G207" s="14" t="s">
        <v>77</v>
      </c>
      <c r="H207" s="15" t="n">
        <v>1</v>
      </c>
      <c r="I207" s="15" t="n">
        <v>700</v>
      </c>
      <c r="J207" s="15" t="n">
        <v>400</v>
      </c>
      <c r="K207" s="15" t="n">
        <v>12</v>
      </c>
      <c r="L207" s="15" t="n">
        <v>5850</v>
      </c>
      <c r="M207" s="15" t="n">
        <v>10950</v>
      </c>
      <c r="N207" s="15" t="n">
        <v>0</v>
      </c>
      <c r="O207" s="15" t="n">
        <v>0</v>
      </c>
      <c r="P207" s="14" t="s">
        <v>90</v>
      </c>
      <c r="Q207" s="15" t="s">
        <v>819</v>
      </c>
      <c r="R207" s="14" t="s">
        <v>296</v>
      </c>
      <c r="S207" s="14" t="s">
        <v>1285</v>
      </c>
      <c r="T207" s="14" t="s">
        <v>1286</v>
      </c>
      <c r="U207" s="14" t="s">
        <v>1287</v>
      </c>
      <c r="V207" s="14" t="s">
        <v>84</v>
      </c>
      <c r="W207" s="14" t="s">
        <v>266</v>
      </c>
      <c r="X207" s="14"/>
    </row>
    <row r="208" customFormat="false" ht="90" hidden="false" customHeight="true" outlineLevel="0" collapsed="false">
      <c r="A208" s="13" t="s">
        <v>1288</v>
      </c>
      <c r="B208" s="14" t="s">
        <v>41</v>
      </c>
      <c r="C208" s="14" t="s">
        <v>24</v>
      </c>
      <c r="D208" s="14" t="s">
        <v>1289</v>
      </c>
      <c r="E208" s="14" t="s">
        <v>1290</v>
      </c>
      <c r="F208" s="14" t="s">
        <v>1291</v>
      </c>
      <c r="G208" s="14" t="s">
        <v>77</v>
      </c>
      <c r="H208" s="15" t="n">
        <v>2</v>
      </c>
      <c r="I208" s="15" t="n">
        <v>800</v>
      </c>
      <c r="J208" s="15" t="n">
        <v>800</v>
      </c>
      <c r="K208" s="15" t="n">
        <v>750</v>
      </c>
      <c r="L208" s="15" t="n">
        <v>1300</v>
      </c>
      <c r="M208" s="15" t="n">
        <v>9900</v>
      </c>
      <c r="N208" s="15" t="n">
        <v>0</v>
      </c>
      <c r="O208" s="15" t="n">
        <v>270</v>
      </c>
      <c r="P208" s="14" t="s">
        <v>120</v>
      </c>
      <c r="Q208" s="15" t="s">
        <v>1292</v>
      </c>
      <c r="R208" s="14" t="s">
        <v>1293</v>
      </c>
      <c r="S208" s="14" t="s">
        <v>1294</v>
      </c>
      <c r="T208" s="14" t="s">
        <v>1295</v>
      </c>
      <c r="U208" s="14" t="s">
        <v>1296</v>
      </c>
      <c r="V208" s="14" t="s">
        <v>84</v>
      </c>
      <c r="W208" s="14" t="s">
        <v>85</v>
      </c>
      <c r="X208" s="14"/>
    </row>
    <row r="209" customFormat="false" ht="90" hidden="false" customHeight="true" outlineLevel="0" collapsed="false">
      <c r="A209" s="13" t="s">
        <v>1297</v>
      </c>
      <c r="B209" s="14" t="s">
        <v>41</v>
      </c>
      <c r="C209" s="14" t="s">
        <v>24</v>
      </c>
      <c r="D209" s="14" t="s">
        <v>1298</v>
      </c>
      <c r="E209" s="14" t="s">
        <v>88</v>
      </c>
      <c r="F209" s="14" t="s">
        <v>89</v>
      </c>
      <c r="G209" s="14" t="s">
        <v>77</v>
      </c>
      <c r="H209" s="15" t="n">
        <v>1</v>
      </c>
      <c r="I209" s="15" t="n">
        <v>650</v>
      </c>
      <c r="J209" s="15" t="n">
        <v>650</v>
      </c>
      <c r="K209" s="15" t="n">
        <v>450</v>
      </c>
      <c r="L209" s="15" t="n">
        <v>2100</v>
      </c>
      <c r="M209" s="15" t="n">
        <v>9900</v>
      </c>
      <c r="N209" s="15" t="n">
        <v>0</v>
      </c>
      <c r="O209" s="15" t="n">
        <v>0</v>
      </c>
      <c r="P209" s="14" t="s">
        <v>90</v>
      </c>
      <c r="Q209" s="15" t="s">
        <v>1299</v>
      </c>
      <c r="R209" s="14" t="s">
        <v>92</v>
      </c>
      <c r="S209" s="14" t="s">
        <v>1300</v>
      </c>
      <c r="T209" s="14" t="s">
        <v>1301</v>
      </c>
      <c r="U209" s="14" t="s">
        <v>1302</v>
      </c>
      <c r="V209" s="14" t="s">
        <v>84</v>
      </c>
      <c r="W209" s="14" t="s">
        <v>85</v>
      </c>
      <c r="X209" s="14"/>
    </row>
    <row r="210" customFormat="false" ht="90" hidden="false" customHeight="true" outlineLevel="0" collapsed="false">
      <c r="A210" s="13" t="s">
        <v>1303</v>
      </c>
      <c r="B210" s="14" t="s">
        <v>41</v>
      </c>
      <c r="C210" s="14" t="s">
        <v>24</v>
      </c>
      <c r="D210" s="14" t="s">
        <v>1304</v>
      </c>
      <c r="E210" s="14" t="s">
        <v>1305</v>
      </c>
      <c r="F210" s="14" t="s">
        <v>1306</v>
      </c>
      <c r="G210" s="14" t="s">
        <v>77</v>
      </c>
      <c r="H210" s="15" t="n">
        <v>1</v>
      </c>
      <c r="I210" s="15" t="n">
        <v>2000</v>
      </c>
      <c r="J210" s="15" t="n">
        <v>1200</v>
      </c>
      <c r="K210" s="15" t="n">
        <v>2400</v>
      </c>
      <c r="L210" s="15" t="n">
        <v>2000</v>
      </c>
      <c r="M210" s="15" t="n">
        <v>11500</v>
      </c>
      <c r="N210" s="15" t="n">
        <v>0</v>
      </c>
      <c r="O210" s="15" t="n">
        <v>0</v>
      </c>
      <c r="P210" s="14" t="s">
        <v>90</v>
      </c>
      <c r="Q210" s="15" t="s">
        <v>1307</v>
      </c>
      <c r="R210" s="14" t="s">
        <v>1308</v>
      </c>
      <c r="S210" s="14" t="s">
        <v>1309</v>
      </c>
      <c r="T210" s="14" t="s">
        <v>1310</v>
      </c>
      <c r="U210" s="14" t="s">
        <v>1311</v>
      </c>
      <c r="V210" s="14" t="s">
        <v>84</v>
      </c>
      <c r="W210" s="14" t="s">
        <v>85</v>
      </c>
      <c r="X210" s="14" t="s">
        <v>1312</v>
      </c>
    </row>
    <row r="211" customFormat="false" ht="90" hidden="false" customHeight="true" outlineLevel="0" collapsed="false">
      <c r="A211" s="13" t="s">
        <v>1313</v>
      </c>
      <c r="B211" s="14" t="s">
        <v>41</v>
      </c>
      <c r="C211" s="14" t="s">
        <v>24</v>
      </c>
      <c r="D211" s="14" t="s">
        <v>1314</v>
      </c>
      <c r="E211" s="14" t="s">
        <v>1315</v>
      </c>
      <c r="F211" s="14" t="s">
        <v>1316</v>
      </c>
      <c r="G211" s="14" t="s">
        <v>77</v>
      </c>
      <c r="H211" s="15" t="n">
        <v>1</v>
      </c>
      <c r="I211" s="15" t="n">
        <v>1500</v>
      </c>
      <c r="J211" s="15" t="n">
        <v>450</v>
      </c>
      <c r="K211" s="15" t="n">
        <v>800</v>
      </c>
      <c r="L211" s="15" t="n">
        <v>3770</v>
      </c>
      <c r="M211" s="15" t="n">
        <v>10650</v>
      </c>
      <c r="N211" s="15" t="n">
        <v>0</v>
      </c>
      <c r="O211" s="15" t="n">
        <v>90</v>
      </c>
      <c r="P211" s="14" t="s">
        <v>90</v>
      </c>
      <c r="Q211" s="15" t="s">
        <v>1317</v>
      </c>
      <c r="R211" s="14" t="s">
        <v>1318</v>
      </c>
      <c r="S211" s="14" t="s">
        <v>1319</v>
      </c>
      <c r="T211" s="14" t="s">
        <v>1320</v>
      </c>
      <c r="U211" s="14" t="s">
        <v>1321</v>
      </c>
      <c r="V211" s="14" t="s">
        <v>84</v>
      </c>
      <c r="W211" s="14" t="s">
        <v>85</v>
      </c>
      <c r="X211" s="14"/>
    </row>
    <row r="212" customFormat="false" ht="90" hidden="false" customHeight="true" outlineLevel="0" collapsed="false">
      <c r="A212" s="13" t="s">
        <v>1322</v>
      </c>
      <c r="B212" s="14" t="s">
        <v>41</v>
      </c>
      <c r="C212" s="14" t="s">
        <v>24</v>
      </c>
      <c r="D212" s="14" t="s">
        <v>1323</v>
      </c>
      <c r="E212" s="14" t="s">
        <v>1324</v>
      </c>
      <c r="F212" s="14" t="s">
        <v>1325</v>
      </c>
      <c r="G212" s="14" t="s">
        <v>77</v>
      </c>
      <c r="H212" s="15" t="n">
        <v>2</v>
      </c>
      <c r="I212" s="15" t="n">
        <v>380</v>
      </c>
      <c r="J212" s="15" t="n">
        <v>380</v>
      </c>
      <c r="K212" s="15" t="n">
        <v>450</v>
      </c>
      <c r="L212" s="15" t="n">
        <v>650</v>
      </c>
      <c r="M212" s="15" t="n">
        <v>9900</v>
      </c>
      <c r="N212" s="15" t="n">
        <v>0</v>
      </c>
      <c r="O212" s="15" t="n">
        <v>0</v>
      </c>
      <c r="P212" s="14" t="s">
        <v>90</v>
      </c>
      <c r="Q212" s="15" t="s">
        <v>1326</v>
      </c>
      <c r="R212" s="14" t="s">
        <v>705</v>
      </c>
      <c r="S212" s="14" t="s">
        <v>1327</v>
      </c>
      <c r="T212" s="14" t="s">
        <v>1328</v>
      </c>
      <c r="U212" s="14" t="s">
        <v>1329</v>
      </c>
      <c r="V212" s="14" t="s">
        <v>84</v>
      </c>
      <c r="W212" s="14" t="s">
        <v>85</v>
      </c>
      <c r="X212" s="14"/>
    </row>
    <row r="213" customFormat="false" ht="90" hidden="false" customHeight="true" outlineLevel="0" collapsed="false">
      <c r="A213" s="13" t="s">
        <v>1330</v>
      </c>
      <c r="B213" s="14" t="s">
        <v>41</v>
      </c>
      <c r="C213" s="14" t="s">
        <v>24</v>
      </c>
      <c r="D213" s="14" t="s">
        <v>1331</v>
      </c>
      <c r="E213" s="14" t="s">
        <v>147</v>
      </c>
      <c r="F213" s="14" t="s">
        <v>148</v>
      </c>
      <c r="G213" s="14" t="s">
        <v>77</v>
      </c>
      <c r="H213" s="15" t="n">
        <v>2</v>
      </c>
      <c r="I213" s="15" t="n">
        <v>560</v>
      </c>
      <c r="J213" s="15" t="n">
        <v>560</v>
      </c>
      <c r="K213" s="15" t="n">
        <v>1800</v>
      </c>
      <c r="L213" s="15" t="n">
        <v>550</v>
      </c>
      <c r="M213" s="15" t="n">
        <v>11850</v>
      </c>
      <c r="N213" s="15" t="n">
        <v>0</v>
      </c>
      <c r="O213" s="15" t="n">
        <v>0</v>
      </c>
      <c r="P213" s="14" t="s">
        <v>90</v>
      </c>
      <c r="Q213" s="15" t="s">
        <v>149</v>
      </c>
      <c r="R213" s="14" t="s">
        <v>150</v>
      </c>
      <c r="S213" s="14" t="s">
        <v>1332</v>
      </c>
      <c r="T213" s="14" t="s">
        <v>1333</v>
      </c>
      <c r="U213" s="14" t="s">
        <v>1334</v>
      </c>
      <c r="V213" s="14" t="s">
        <v>114</v>
      </c>
      <c r="W213" s="14" t="s">
        <v>85</v>
      </c>
      <c r="X213" s="14"/>
    </row>
    <row r="214" customFormat="false" ht="90" hidden="false" customHeight="true" outlineLevel="0" collapsed="false">
      <c r="A214" s="13" t="s">
        <v>1335</v>
      </c>
      <c r="B214" s="14" t="s">
        <v>41</v>
      </c>
      <c r="C214" s="14" t="s">
        <v>24</v>
      </c>
      <c r="D214" s="14" t="s">
        <v>1336</v>
      </c>
      <c r="E214" s="14" t="s">
        <v>138</v>
      </c>
      <c r="F214" s="14" t="s">
        <v>139</v>
      </c>
      <c r="G214" s="14" t="s">
        <v>77</v>
      </c>
      <c r="H214" s="15" t="n">
        <v>1</v>
      </c>
      <c r="I214" s="15" t="n">
        <v>500</v>
      </c>
      <c r="J214" s="15" t="n">
        <v>500</v>
      </c>
      <c r="K214" s="15" t="n">
        <v>400</v>
      </c>
      <c r="L214" s="15" t="n">
        <v>2100</v>
      </c>
      <c r="M214" s="15" t="n">
        <v>9150</v>
      </c>
      <c r="N214" s="15" t="n">
        <v>0</v>
      </c>
      <c r="O214" s="15" t="n">
        <v>0</v>
      </c>
      <c r="P214" s="14" t="s">
        <v>90</v>
      </c>
      <c r="Q214" s="15" t="s">
        <v>1337</v>
      </c>
      <c r="R214" s="14" t="s">
        <v>1338</v>
      </c>
      <c r="S214" s="14" t="s">
        <v>1339</v>
      </c>
      <c r="T214" s="14" t="s">
        <v>1340</v>
      </c>
      <c r="U214" s="14" t="s">
        <v>1341</v>
      </c>
      <c r="V214" s="14" t="s">
        <v>84</v>
      </c>
      <c r="W214" s="14" t="s">
        <v>85</v>
      </c>
      <c r="X214" s="14"/>
    </row>
    <row r="215" customFormat="false" ht="90" hidden="false" customHeight="true" outlineLevel="0" collapsed="false">
      <c r="A215" s="13" t="s">
        <v>1342</v>
      </c>
      <c r="B215" s="14" t="s">
        <v>41</v>
      </c>
      <c r="C215" s="14" t="s">
        <v>25</v>
      </c>
      <c r="D215" s="14" t="s">
        <v>1343</v>
      </c>
      <c r="E215" s="14" t="s">
        <v>720</v>
      </c>
      <c r="F215" s="14" t="s">
        <v>721</v>
      </c>
      <c r="G215" s="14" t="s">
        <v>158</v>
      </c>
      <c r="H215" s="15" t="n">
        <v>1</v>
      </c>
      <c r="I215" s="15" t="n">
        <v>1500</v>
      </c>
      <c r="J215" s="15" t="n">
        <v>40</v>
      </c>
      <c r="K215" s="15" t="n">
        <v>1800</v>
      </c>
      <c r="L215" s="15" t="n">
        <v>3975</v>
      </c>
      <c r="M215" s="15" t="n">
        <v>10650</v>
      </c>
      <c r="N215" s="15" t="n">
        <v>0</v>
      </c>
      <c r="O215" s="15" t="n">
        <v>90</v>
      </c>
      <c r="P215" s="14" t="s">
        <v>78</v>
      </c>
      <c r="Q215" s="15" t="s">
        <v>1344</v>
      </c>
      <c r="R215" s="14"/>
      <c r="S215" s="14" t="s">
        <v>1345</v>
      </c>
      <c r="T215" s="14" t="s">
        <v>1346</v>
      </c>
      <c r="U215" s="14" t="s">
        <v>1347</v>
      </c>
      <c r="V215" s="14" t="s">
        <v>84</v>
      </c>
      <c r="W215" s="14" t="s">
        <v>164</v>
      </c>
      <c r="X215" s="14"/>
    </row>
    <row r="216" customFormat="false" ht="90" hidden="false" customHeight="true" outlineLevel="0" collapsed="false">
      <c r="A216" s="13" t="s">
        <v>1348</v>
      </c>
      <c r="B216" s="14" t="s">
        <v>41</v>
      </c>
      <c r="C216" s="14" t="s">
        <v>25</v>
      </c>
      <c r="D216" s="14" t="s">
        <v>1349</v>
      </c>
      <c r="E216" s="14" t="s">
        <v>331</v>
      </c>
      <c r="F216" s="14" t="s">
        <v>332</v>
      </c>
      <c r="G216" s="14" t="s">
        <v>77</v>
      </c>
      <c r="H216" s="15" t="n">
        <v>2</v>
      </c>
      <c r="I216" s="15" t="n">
        <v>500</v>
      </c>
      <c r="J216" s="15" t="n">
        <v>500</v>
      </c>
      <c r="K216" s="15" t="n">
        <v>600</v>
      </c>
      <c r="L216" s="15" t="n">
        <v>3600</v>
      </c>
      <c r="M216" s="15" t="n">
        <v>8850</v>
      </c>
      <c r="N216" s="15" t="n">
        <v>0</v>
      </c>
      <c r="O216" s="15" t="n">
        <v>0</v>
      </c>
      <c r="P216" s="14" t="s">
        <v>90</v>
      </c>
      <c r="Q216" s="15" t="s">
        <v>1350</v>
      </c>
      <c r="R216" s="14" t="s">
        <v>334</v>
      </c>
      <c r="S216" s="14" t="s">
        <v>1351</v>
      </c>
      <c r="T216" s="14" t="s">
        <v>1352</v>
      </c>
      <c r="U216" s="14" t="s">
        <v>1353</v>
      </c>
      <c r="V216" s="14" t="s">
        <v>114</v>
      </c>
      <c r="W216" s="14" t="s">
        <v>164</v>
      </c>
      <c r="X216" s="14"/>
    </row>
    <row r="217" customFormat="false" ht="90" hidden="false" customHeight="true" outlineLevel="0" collapsed="false">
      <c r="A217" s="13" t="s">
        <v>1354</v>
      </c>
      <c r="B217" s="14" t="s">
        <v>41</v>
      </c>
      <c r="C217" s="14" t="s">
        <v>25</v>
      </c>
      <c r="D217" s="14" t="s">
        <v>1355</v>
      </c>
      <c r="E217" s="14" t="s">
        <v>331</v>
      </c>
      <c r="F217" s="14" t="s">
        <v>332</v>
      </c>
      <c r="G217" s="14" t="s">
        <v>77</v>
      </c>
      <c r="H217" s="15" t="n">
        <v>1</v>
      </c>
      <c r="I217" s="15" t="n">
        <v>200</v>
      </c>
      <c r="J217" s="15" t="n">
        <v>200</v>
      </c>
      <c r="K217" s="15" t="n">
        <v>600</v>
      </c>
      <c r="L217" s="15" t="n">
        <v>3770</v>
      </c>
      <c r="M217" s="15" t="n">
        <v>11000</v>
      </c>
      <c r="N217" s="15" t="n">
        <v>0</v>
      </c>
      <c r="O217" s="15" t="n">
        <v>0</v>
      </c>
      <c r="P217" s="14" t="s">
        <v>90</v>
      </c>
      <c r="Q217" s="15" t="s">
        <v>333</v>
      </c>
      <c r="R217" s="14" t="s">
        <v>334</v>
      </c>
      <c r="S217" s="14" t="s">
        <v>1356</v>
      </c>
      <c r="T217" s="14" t="s">
        <v>1357</v>
      </c>
      <c r="U217" s="14" t="s">
        <v>1358</v>
      </c>
      <c r="V217" s="14" t="s">
        <v>114</v>
      </c>
      <c r="W217" s="14" t="s">
        <v>164</v>
      </c>
      <c r="X217" s="14"/>
    </row>
    <row r="218" customFormat="false" ht="90" hidden="false" customHeight="true" outlineLevel="0" collapsed="false">
      <c r="A218" s="13" t="s">
        <v>1359</v>
      </c>
      <c r="B218" s="14" t="s">
        <v>41</v>
      </c>
      <c r="C218" s="14" t="s">
        <v>25</v>
      </c>
      <c r="D218" s="14" t="s">
        <v>1360</v>
      </c>
      <c r="E218" s="14" t="s">
        <v>1361</v>
      </c>
      <c r="F218" s="14" t="s">
        <v>1362</v>
      </c>
      <c r="G218" s="14" t="s">
        <v>77</v>
      </c>
      <c r="H218" s="15" t="n">
        <v>3</v>
      </c>
      <c r="I218" s="15" t="n">
        <v>220</v>
      </c>
      <c r="J218" s="15" t="n">
        <v>220</v>
      </c>
      <c r="K218" s="15" t="n">
        <v>450</v>
      </c>
      <c r="L218" s="15" t="n">
        <v>3300</v>
      </c>
      <c r="M218" s="15" t="n">
        <v>11500</v>
      </c>
      <c r="N218" s="15" t="n">
        <v>0</v>
      </c>
      <c r="O218" s="15" t="n">
        <v>0</v>
      </c>
      <c r="P218" s="14" t="s">
        <v>90</v>
      </c>
      <c r="Q218" s="15" t="s">
        <v>1363</v>
      </c>
      <c r="R218" s="14" t="s">
        <v>1364</v>
      </c>
      <c r="S218" s="14" t="s">
        <v>1365</v>
      </c>
      <c r="T218" s="14" t="s">
        <v>1366</v>
      </c>
      <c r="U218" s="14" t="s">
        <v>1367</v>
      </c>
      <c r="V218" s="14" t="s">
        <v>84</v>
      </c>
      <c r="W218" s="14" t="s">
        <v>164</v>
      </c>
      <c r="X218" s="14"/>
    </row>
    <row r="219" customFormat="false" ht="90" hidden="false" customHeight="true" outlineLevel="0" collapsed="false">
      <c r="A219" s="13" t="s">
        <v>1368</v>
      </c>
      <c r="B219" s="14" t="s">
        <v>41</v>
      </c>
      <c r="C219" s="14" t="s">
        <v>25</v>
      </c>
      <c r="D219" s="14" t="s">
        <v>1369</v>
      </c>
      <c r="E219" s="14" t="s">
        <v>331</v>
      </c>
      <c r="F219" s="14" t="s">
        <v>332</v>
      </c>
      <c r="G219" s="14" t="s">
        <v>77</v>
      </c>
      <c r="H219" s="15" t="n">
        <v>1</v>
      </c>
      <c r="I219" s="15" t="n">
        <v>350</v>
      </c>
      <c r="J219" s="15" t="n">
        <v>350</v>
      </c>
      <c r="K219" s="15" t="n">
        <v>600</v>
      </c>
      <c r="L219" s="15" t="n">
        <v>800</v>
      </c>
      <c r="M219" s="15" t="n">
        <v>11300</v>
      </c>
      <c r="N219" s="15" t="n">
        <v>0</v>
      </c>
      <c r="O219" s="15" t="n">
        <v>0</v>
      </c>
      <c r="P219" s="14" t="s">
        <v>90</v>
      </c>
      <c r="Q219" s="15" t="s">
        <v>1370</v>
      </c>
      <c r="R219" s="14" t="s">
        <v>172</v>
      </c>
      <c r="S219" s="14" t="s">
        <v>1371</v>
      </c>
      <c r="T219" s="14" t="s">
        <v>1372</v>
      </c>
      <c r="U219" s="14" t="s">
        <v>1373</v>
      </c>
      <c r="V219" s="14" t="s">
        <v>114</v>
      </c>
      <c r="W219" s="14" t="s">
        <v>164</v>
      </c>
      <c r="X219" s="14"/>
    </row>
    <row r="220" customFormat="false" ht="90" hidden="false" customHeight="true" outlineLevel="0" collapsed="false">
      <c r="A220" s="13" t="s">
        <v>1374</v>
      </c>
      <c r="B220" s="14" t="s">
        <v>41</v>
      </c>
      <c r="C220" s="14" t="s">
        <v>26</v>
      </c>
      <c r="D220" s="14" t="s">
        <v>1375</v>
      </c>
      <c r="E220" s="14" t="s">
        <v>629</v>
      </c>
      <c r="F220" s="14" t="s">
        <v>630</v>
      </c>
      <c r="G220" s="14" t="s">
        <v>218</v>
      </c>
      <c r="H220" s="15" t="n">
        <v>1</v>
      </c>
      <c r="I220" s="15" t="n">
        <v>3810</v>
      </c>
      <c r="J220" s="15" t="n">
        <v>3733</v>
      </c>
      <c r="K220" s="15" t="n">
        <v>0</v>
      </c>
      <c r="L220" s="15" t="n">
        <v>2135</v>
      </c>
      <c r="M220" s="15" t="n">
        <v>10374</v>
      </c>
      <c r="N220" s="15" t="n">
        <v>0</v>
      </c>
      <c r="O220" s="15" t="n">
        <v>0</v>
      </c>
      <c r="P220" s="14" t="s">
        <v>90</v>
      </c>
      <c r="Q220" s="15" t="s">
        <v>1376</v>
      </c>
      <c r="R220" s="14" t="s">
        <v>1377</v>
      </c>
      <c r="S220" s="14" t="s">
        <v>1378</v>
      </c>
      <c r="T220" s="14" t="s">
        <v>1379</v>
      </c>
      <c r="U220" s="14" t="s">
        <v>1380</v>
      </c>
      <c r="V220" s="14" t="s">
        <v>84</v>
      </c>
      <c r="W220" s="14" t="s">
        <v>213</v>
      </c>
      <c r="X220" s="14"/>
    </row>
    <row r="221" customFormat="false" ht="90" hidden="false" customHeight="true" outlineLevel="0" collapsed="false">
      <c r="A221" s="13" t="s">
        <v>1381</v>
      </c>
      <c r="B221" s="14" t="s">
        <v>41</v>
      </c>
      <c r="C221" s="14" t="s">
        <v>26</v>
      </c>
      <c r="D221" s="14" t="s">
        <v>1382</v>
      </c>
      <c r="E221" s="14" t="s">
        <v>216</v>
      </c>
      <c r="F221" s="14" t="s">
        <v>217</v>
      </c>
      <c r="G221" s="14" t="s">
        <v>218</v>
      </c>
      <c r="H221" s="15" t="n">
        <v>1</v>
      </c>
      <c r="I221" s="15" t="n">
        <v>3810</v>
      </c>
      <c r="J221" s="15" t="n">
        <v>3733</v>
      </c>
      <c r="K221" s="15" t="n">
        <v>15</v>
      </c>
      <c r="L221" s="15" t="n">
        <v>2135</v>
      </c>
      <c r="M221" s="15" t="n">
        <v>10374</v>
      </c>
      <c r="N221" s="15" t="n">
        <v>0</v>
      </c>
      <c r="O221" s="15" t="n">
        <v>0</v>
      </c>
      <c r="P221" s="14" t="s">
        <v>90</v>
      </c>
      <c r="Q221" s="15" t="s">
        <v>1383</v>
      </c>
      <c r="R221" s="14" t="s">
        <v>705</v>
      </c>
      <c r="S221" s="14" t="s">
        <v>1384</v>
      </c>
      <c r="T221" s="14" t="s">
        <v>1385</v>
      </c>
      <c r="U221" s="14" t="s">
        <v>1386</v>
      </c>
      <c r="V221" s="14" t="s">
        <v>84</v>
      </c>
      <c r="W221" s="14" t="s">
        <v>213</v>
      </c>
      <c r="X221" s="14"/>
    </row>
    <row r="222" customFormat="false" ht="90" hidden="false" customHeight="true" outlineLevel="0" collapsed="false">
      <c r="A222" s="13" t="s">
        <v>1387</v>
      </c>
      <c r="B222" s="14" t="s">
        <v>41</v>
      </c>
      <c r="C222" s="14" t="s">
        <v>26</v>
      </c>
      <c r="D222" s="14" t="s">
        <v>1388</v>
      </c>
      <c r="E222" s="14" t="s">
        <v>1389</v>
      </c>
      <c r="F222" s="14" t="s">
        <v>1390</v>
      </c>
      <c r="G222" s="14" t="s">
        <v>245</v>
      </c>
      <c r="H222" s="15" t="n">
        <v>1</v>
      </c>
      <c r="I222" s="15" t="n">
        <v>3500</v>
      </c>
      <c r="J222" s="15" t="n">
        <v>3400</v>
      </c>
      <c r="K222" s="15" t="n">
        <v>60</v>
      </c>
      <c r="L222" s="15" t="n">
        <v>2150</v>
      </c>
      <c r="M222" s="15" t="n">
        <v>10400</v>
      </c>
      <c r="N222" s="15" t="n">
        <v>2750</v>
      </c>
      <c r="O222" s="15" t="n">
        <v>0</v>
      </c>
      <c r="P222" s="14" t="s">
        <v>90</v>
      </c>
      <c r="Q222" s="15" t="s">
        <v>1391</v>
      </c>
      <c r="R222" s="14" t="s">
        <v>705</v>
      </c>
      <c r="S222" s="14" t="s">
        <v>1392</v>
      </c>
      <c r="T222" s="14" t="s">
        <v>1393</v>
      </c>
      <c r="U222" s="14" t="s">
        <v>1394</v>
      </c>
      <c r="V222" s="14" t="s">
        <v>84</v>
      </c>
      <c r="W222" s="14" t="s">
        <v>213</v>
      </c>
      <c r="X222" s="14"/>
    </row>
    <row r="223" customFormat="false" ht="90" hidden="false" customHeight="true" outlineLevel="0" collapsed="false">
      <c r="A223" s="13" t="s">
        <v>1395</v>
      </c>
      <c r="B223" s="14" t="s">
        <v>41</v>
      </c>
      <c r="C223" s="14" t="s">
        <v>26</v>
      </c>
      <c r="D223" s="14" t="s">
        <v>1396</v>
      </c>
      <c r="E223" s="14" t="s">
        <v>1397</v>
      </c>
      <c r="F223" s="14" t="s">
        <v>1398</v>
      </c>
      <c r="G223" s="14" t="s">
        <v>77</v>
      </c>
      <c r="H223" s="15" t="n">
        <v>2</v>
      </c>
      <c r="I223" s="15" t="n">
        <v>820</v>
      </c>
      <c r="J223" s="15" t="n">
        <v>820</v>
      </c>
      <c r="K223" s="15" t="n">
        <v>40</v>
      </c>
      <c r="L223" s="15" t="n">
        <v>550</v>
      </c>
      <c r="M223" s="15" t="n">
        <v>11850</v>
      </c>
      <c r="N223" s="15" t="n">
        <v>0</v>
      </c>
      <c r="O223" s="15" t="n">
        <v>0</v>
      </c>
      <c r="P223" s="14" t="s">
        <v>90</v>
      </c>
      <c r="Q223" s="15" t="s">
        <v>1399</v>
      </c>
      <c r="R223" s="14" t="s">
        <v>1400</v>
      </c>
      <c r="S223" s="14" t="s">
        <v>1401</v>
      </c>
      <c r="T223" s="14" t="s">
        <v>1402</v>
      </c>
      <c r="U223" s="14" t="s">
        <v>1403</v>
      </c>
      <c r="V223" s="14" t="s">
        <v>114</v>
      </c>
      <c r="W223" s="14" t="s">
        <v>213</v>
      </c>
      <c r="X223" s="14"/>
    </row>
    <row r="224" customFormat="false" ht="90" hidden="false" customHeight="true" outlineLevel="0" collapsed="false">
      <c r="A224" s="13" t="s">
        <v>1404</v>
      </c>
      <c r="B224" s="14" t="s">
        <v>41</v>
      </c>
      <c r="C224" s="14" t="s">
        <v>27</v>
      </c>
      <c r="D224" s="14" t="s">
        <v>1405</v>
      </c>
      <c r="E224" s="14" t="s">
        <v>277</v>
      </c>
      <c r="F224" s="14" t="s">
        <v>278</v>
      </c>
      <c r="G224" s="14" t="s">
        <v>158</v>
      </c>
      <c r="H224" s="15" t="n">
        <v>2</v>
      </c>
      <c r="I224" s="15" t="n">
        <v>220</v>
      </c>
      <c r="J224" s="15" t="n">
        <v>220</v>
      </c>
      <c r="K224" s="15" t="n">
        <v>200</v>
      </c>
      <c r="L224" s="15" t="n">
        <v>1600</v>
      </c>
      <c r="M224" s="15" t="n">
        <v>12200</v>
      </c>
      <c r="N224" s="15" t="n">
        <v>1500</v>
      </c>
      <c r="O224" s="15" t="n">
        <v>0</v>
      </c>
      <c r="P224" s="14" t="s">
        <v>90</v>
      </c>
      <c r="Q224" s="15" t="s">
        <v>1406</v>
      </c>
      <c r="R224" s="14"/>
      <c r="S224" s="14" t="s">
        <v>1407</v>
      </c>
      <c r="T224" s="14" t="s">
        <v>1408</v>
      </c>
      <c r="U224" s="14" t="s">
        <v>1409</v>
      </c>
      <c r="V224" s="14" t="s">
        <v>84</v>
      </c>
      <c r="W224" s="14" t="s">
        <v>266</v>
      </c>
      <c r="X224" s="14"/>
    </row>
    <row r="225" customFormat="false" ht="90" hidden="false" customHeight="true" outlineLevel="0" collapsed="false">
      <c r="A225" s="13" t="s">
        <v>1410</v>
      </c>
      <c r="B225" s="14" t="s">
        <v>41</v>
      </c>
      <c r="C225" s="14" t="s">
        <v>27</v>
      </c>
      <c r="D225" s="14" t="s">
        <v>1411</v>
      </c>
      <c r="E225" s="14" t="s">
        <v>285</v>
      </c>
      <c r="F225" s="14" t="s">
        <v>286</v>
      </c>
      <c r="G225" s="14" t="s">
        <v>245</v>
      </c>
      <c r="H225" s="15" t="n">
        <v>2</v>
      </c>
      <c r="I225" s="15" t="n">
        <v>150</v>
      </c>
      <c r="J225" s="15" t="n">
        <v>150</v>
      </c>
      <c r="K225" s="15" t="n">
        <v>80</v>
      </c>
      <c r="L225" s="15" t="n">
        <v>550</v>
      </c>
      <c r="M225" s="15" t="n">
        <v>11850</v>
      </c>
      <c r="N225" s="15" t="n">
        <v>2750</v>
      </c>
      <c r="O225" s="15" t="n">
        <v>0</v>
      </c>
      <c r="P225" s="14" t="s">
        <v>90</v>
      </c>
      <c r="Q225" s="15" t="s">
        <v>1412</v>
      </c>
      <c r="R225" s="14" t="s">
        <v>1413</v>
      </c>
      <c r="S225" s="14" t="s">
        <v>1414</v>
      </c>
      <c r="T225" s="14" t="s">
        <v>799</v>
      </c>
      <c r="U225" s="14" t="s">
        <v>1415</v>
      </c>
      <c r="V225" s="14" t="s">
        <v>114</v>
      </c>
      <c r="W225" s="14" t="s">
        <v>266</v>
      </c>
      <c r="X225" s="14"/>
    </row>
    <row r="226" customFormat="false" ht="90" hidden="false" customHeight="true" outlineLevel="0" collapsed="false">
      <c r="A226" s="13" t="s">
        <v>1416</v>
      </c>
      <c r="B226" s="14" t="s">
        <v>41</v>
      </c>
      <c r="C226" s="14" t="s">
        <v>27</v>
      </c>
      <c r="D226" s="14" t="s">
        <v>1417</v>
      </c>
      <c r="E226" s="14" t="s">
        <v>285</v>
      </c>
      <c r="F226" s="14" t="s">
        <v>286</v>
      </c>
      <c r="G226" s="14" t="s">
        <v>245</v>
      </c>
      <c r="H226" s="15" t="n">
        <v>1</v>
      </c>
      <c r="I226" s="15" t="n">
        <v>200</v>
      </c>
      <c r="J226" s="15" t="n">
        <v>200</v>
      </c>
      <c r="K226" s="15" t="n">
        <v>80</v>
      </c>
      <c r="L226" s="15" t="n">
        <v>3900</v>
      </c>
      <c r="M226" s="15" t="n">
        <v>10650</v>
      </c>
      <c r="N226" s="15" t="n">
        <v>2750</v>
      </c>
      <c r="O226" s="15" t="n">
        <v>0</v>
      </c>
      <c r="P226" s="14" t="s">
        <v>90</v>
      </c>
      <c r="Q226" s="15" t="s">
        <v>1418</v>
      </c>
      <c r="R226" s="14" t="s">
        <v>196</v>
      </c>
      <c r="S226" s="14" t="s">
        <v>1419</v>
      </c>
      <c r="T226" s="14" t="s">
        <v>805</v>
      </c>
      <c r="U226" s="14" t="s">
        <v>1420</v>
      </c>
      <c r="V226" s="14" t="s">
        <v>84</v>
      </c>
      <c r="W226" s="14" t="s">
        <v>266</v>
      </c>
      <c r="X226" s="14"/>
    </row>
    <row r="227" customFormat="false" ht="90" hidden="false" customHeight="true" outlineLevel="0" collapsed="false">
      <c r="A227" s="13" t="s">
        <v>1421</v>
      </c>
      <c r="B227" s="14" t="s">
        <v>41</v>
      </c>
      <c r="C227" s="14" t="s">
        <v>27</v>
      </c>
      <c r="D227" s="14" t="s">
        <v>1422</v>
      </c>
      <c r="E227" s="14" t="s">
        <v>293</v>
      </c>
      <c r="F227" s="14" t="s">
        <v>294</v>
      </c>
      <c r="G227" s="14" t="s">
        <v>77</v>
      </c>
      <c r="H227" s="15" t="n">
        <v>1</v>
      </c>
      <c r="I227" s="15" t="n">
        <v>2600</v>
      </c>
      <c r="J227" s="15" t="n">
        <v>1200</v>
      </c>
      <c r="K227" s="15" t="n">
        <v>12</v>
      </c>
      <c r="L227" s="15" t="n">
        <v>2100</v>
      </c>
      <c r="M227" s="15" t="n">
        <v>9900</v>
      </c>
      <c r="N227" s="15" t="n">
        <v>0</v>
      </c>
      <c r="O227" s="15" t="n">
        <v>0</v>
      </c>
      <c r="P227" s="14" t="s">
        <v>90</v>
      </c>
      <c r="Q227" s="15" t="s">
        <v>1423</v>
      </c>
      <c r="R227" s="14" t="s">
        <v>296</v>
      </c>
      <c r="S227" s="14" t="s">
        <v>1424</v>
      </c>
      <c r="T227" s="14" t="s">
        <v>1425</v>
      </c>
      <c r="U227" s="14" t="s">
        <v>1426</v>
      </c>
      <c r="V227" s="14" t="s">
        <v>84</v>
      </c>
      <c r="W227" s="14" t="s">
        <v>266</v>
      </c>
      <c r="X227" s="14"/>
    </row>
    <row r="228" customFormat="false" ht="90" hidden="false" customHeight="true" outlineLevel="0" collapsed="false">
      <c r="A228" s="13" t="s">
        <v>1427</v>
      </c>
      <c r="B228" s="14" t="s">
        <v>41</v>
      </c>
      <c r="C228" s="14" t="s">
        <v>27</v>
      </c>
      <c r="D228" s="14" t="s">
        <v>1428</v>
      </c>
      <c r="E228" s="14" t="s">
        <v>302</v>
      </c>
      <c r="F228" s="14" t="s">
        <v>303</v>
      </c>
      <c r="G228" s="14" t="s">
        <v>169</v>
      </c>
      <c r="H228" s="15" t="n">
        <v>1</v>
      </c>
      <c r="I228" s="15" t="n">
        <v>250</v>
      </c>
      <c r="J228" s="15" t="n">
        <v>250</v>
      </c>
      <c r="K228" s="15" t="n">
        <v>150</v>
      </c>
      <c r="L228" s="15" t="n">
        <v>1300</v>
      </c>
      <c r="M228" s="15" t="n">
        <v>9900</v>
      </c>
      <c r="N228" s="15" t="s">
        <v>170</v>
      </c>
      <c r="O228" s="15" t="n">
        <v>0</v>
      </c>
      <c r="P228" s="14" t="s">
        <v>90</v>
      </c>
      <c r="Q228" s="15" t="s">
        <v>311</v>
      </c>
      <c r="R228" s="14"/>
      <c r="S228" s="14" t="s">
        <v>1429</v>
      </c>
      <c r="T228" s="14" t="s">
        <v>307</v>
      </c>
      <c r="U228" s="14" t="s">
        <v>1430</v>
      </c>
      <c r="V228" s="14" t="s">
        <v>84</v>
      </c>
      <c r="W228" s="14" t="s">
        <v>266</v>
      </c>
      <c r="X228" s="14"/>
    </row>
    <row r="229" customFormat="false" ht="90" hidden="false" customHeight="true" outlineLevel="0" collapsed="false">
      <c r="A229" s="13" t="s">
        <v>1431</v>
      </c>
      <c r="B229" s="14" t="s">
        <v>41</v>
      </c>
      <c r="C229" s="14" t="s">
        <v>27</v>
      </c>
      <c r="D229" s="14" t="s">
        <v>1432</v>
      </c>
      <c r="E229" s="14" t="s">
        <v>350</v>
      </c>
      <c r="F229" s="14" t="s">
        <v>351</v>
      </c>
      <c r="G229" s="14" t="s">
        <v>158</v>
      </c>
      <c r="H229" s="15" t="n">
        <v>1</v>
      </c>
      <c r="I229" s="15" t="n">
        <v>3400</v>
      </c>
      <c r="J229" s="15" t="n">
        <v>40</v>
      </c>
      <c r="K229" s="15" t="n">
        <v>2700</v>
      </c>
      <c r="L229" s="15" t="n">
        <v>250</v>
      </c>
      <c r="M229" s="15" t="n">
        <v>10400</v>
      </c>
      <c r="N229" s="15" t="n">
        <v>0</v>
      </c>
      <c r="O229" s="15" t="n">
        <v>270</v>
      </c>
      <c r="P229" s="14" t="s">
        <v>120</v>
      </c>
      <c r="Q229" s="15" t="s">
        <v>1433</v>
      </c>
      <c r="R229" s="14" t="s">
        <v>353</v>
      </c>
      <c r="S229" s="14" t="s">
        <v>1434</v>
      </c>
      <c r="T229" s="14" t="s">
        <v>1435</v>
      </c>
      <c r="U229" s="14" t="s">
        <v>1436</v>
      </c>
      <c r="V229" s="14" t="s">
        <v>114</v>
      </c>
      <c r="W229" s="14" t="s">
        <v>266</v>
      </c>
      <c r="X229" s="14"/>
    </row>
    <row r="230" customFormat="false" ht="90" hidden="false" customHeight="true" outlineLevel="0" collapsed="false">
      <c r="A230" s="13" t="s">
        <v>1437</v>
      </c>
      <c r="B230" s="14" t="s">
        <v>42</v>
      </c>
      <c r="C230" s="14" t="s">
        <v>24</v>
      </c>
      <c r="D230" s="14" t="s">
        <v>1438</v>
      </c>
      <c r="E230" s="14" t="s">
        <v>1290</v>
      </c>
      <c r="F230" s="14" t="s">
        <v>1291</v>
      </c>
      <c r="G230" s="14" t="s">
        <v>77</v>
      </c>
      <c r="H230" s="15" t="n">
        <v>2</v>
      </c>
      <c r="I230" s="15" t="n">
        <v>700</v>
      </c>
      <c r="J230" s="15" t="n">
        <v>700</v>
      </c>
      <c r="K230" s="15" t="n">
        <v>750</v>
      </c>
      <c r="L230" s="15" t="n">
        <v>12200</v>
      </c>
      <c r="M230" s="15" t="n">
        <v>9600</v>
      </c>
      <c r="N230" s="15" t="n">
        <v>0</v>
      </c>
      <c r="O230" s="15" t="n">
        <v>90</v>
      </c>
      <c r="P230" s="14" t="s">
        <v>78</v>
      </c>
      <c r="Q230" s="15" t="s">
        <v>1292</v>
      </c>
      <c r="R230" s="14" t="s">
        <v>1293</v>
      </c>
      <c r="S230" s="14" t="s">
        <v>1439</v>
      </c>
      <c r="T230" s="14" t="s">
        <v>1440</v>
      </c>
      <c r="U230" s="14" t="s">
        <v>1441</v>
      </c>
      <c r="V230" s="14" t="s">
        <v>84</v>
      </c>
      <c r="W230" s="14" t="s">
        <v>85</v>
      </c>
      <c r="X230" s="14"/>
    </row>
    <row r="231" customFormat="false" ht="90" hidden="false" customHeight="true" outlineLevel="0" collapsed="false">
      <c r="A231" s="13" t="s">
        <v>1442</v>
      </c>
      <c r="B231" s="14" t="s">
        <v>42</v>
      </c>
      <c r="C231" s="14" t="s">
        <v>24</v>
      </c>
      <c r="D231" s="14" t="s">
        <v>1443</v>
      </c>
      <c r="E231" s="14" t="s">
        <v>88</v>
      </c>
      <c r="F231" s="14" t="s">
        <v>89</v>
      </c>
      <c r="G231" s="14" t="s">
        <v>77</v>
      </c>
      <c r="H231" s="15" t="n">
        <v>1</v>
      </c>
      <c r="I231" s="15" t="n">
        <v>400</v>
      </c>
      <c r="J231" s="15" t="n">
        <v>400</v>
      </c>
      <c r="K231" s="15" t="n">
        <v>450</v>
      </c>
      <c r="L231" s="15" t="n">
        <v>12200</v>
      </c>
      <c r="M231" s="15" t="n">
        <v>10320</v>
      </c>
      <c r="N231" s="15" t="n">
        <v>0</v>
      </c>
      <c r="O231" s="15" t="n">
        <v>0</v>
      </c>
      <c r="P231" s="14" t="s">
        <v>90</v>
      </c>
      <c r="Q231" s="15" t="s">
        <v>1444</v>
      </c>
      <c r="R231" s="14" t="s">
        <v>92</v>
      </c>
      <c r="S231" s="14" t="s">
        <v>1445</v>
      </c>
      <c r="T231" s="14" t="s">
        <v>1446</v>
      </c>
      <c r="U231" s="14" t="s">
        <v>1447</v>
      </c>
      <c r="V231" s="14" t="s">
        <v>84</v>
      </c>
      <c r="W231" s="14" t="s">
        <v>85</v>
      </c>
      <c r="X231" s="14"/>
    </row>
    <row r="232" customFormat="false" ht="90" hidden="false" customHeight="true" outlineLevel="0" collapsed="false">
      <c r="A232" s="13" t="s">
        <v>1448</v>
      </c>
      <c r="B232" s="14" t="s">
        <v>42</v>
      </c>
      <c r="C232" s="14" t="s">
        <v>24</v>
      </c>
      <c r="D232" s="14" t="s">
        <v>1449</v>
      </c>
      <c r="E232" s="14" t="s">
        <v>316</v>
      </c>
      <c r="F232" s="14" t="s">
        <v>317</v>
      </c>
      <c r="G232" s="14" t="s">
        <v>77</v>
      </c>
      <c r="H232" s="15" t="n">
        <v>1</v>
      </c>
      <c r="I232" s="15" t="n">
        <v>3350</v>
      </c>
      <c r="J232" s="15" t="n">
        <v>205</v>
      </c>
      <c r="K232" s="15" t="n">
        <v>400</v>
      </c>
      <c r="L232" s="15" t="n">
        <v>12858</v>
      </c>
      <c r="M232" s="15" t="n">
        <v>10375</v>
      </c>
      <c r="N232" s="15" t="n">
        <v>0</v>
      </c>
      <c r="O232" s="15" t="n">
        <v>90</v>
      </c>
      <c r="P232" s="14" t="s">
        <v>90</v>
      </c>
      <c r="Q232" s="15" t="s">
        <v>318</v>
      </c>
      <c r="R232" s="14" t="s">
        <v>334</v>
      </c>
      <c r="S232" s="14" t="s">
        <v>1450</v>
      </c>
      <c r="T232" s="14" t="s">
        <v>1451</v>
      </c>
      <c r="U232" s="14" t="s">
        <v>1452</v>
      </c>
      <c r="V232" s="14" t="s">
        <v>114</v>
      </c>
      <c r="W232" s="14" t="s">
        <v>85</v>
      </c>
      <c r="X232" s="14"/>
    </row>
    <row r="233" customFormat="false" ht="90" hidden="false" customHeight="true" outlineLevel="0" collapsed="false">
      <c r="A233" s="13" t="s">
        <v>1453</v>
      </c>
      <c r="B233" s="14" t="s">
        <v>42</v>
      </c>
      <c r="C233" s="14" t="s">
        <v>24</v>
      </c>
      <c r="D233" s="14" t="s">
        <v>1454</v>
      </c>
      <c r="E233" s="14" t="s">
        <v>1455</v>
      </c>
      <c r="F233" s="14" t="s">
        <v>1456</v>
      </c>
      <c r="G233" s="14" t="s">
        <v>158</v>
      </c>
      <c r="H233" s="15" t="n">
        <v>1</v>
      </c>
      <c r="I233" s="15" t="n">
        <v>1050</v>
      </c>
      <c r="J233" s="15" t="n">
        <v>40</v>
      </c>
      <c r="K233" s="15" t="n">
        <v>1800</v>
      </c>
      <c r="L233" s="15" t="n">
        <v>12375</v>
      </c>
      <c r="M233" s="15" t="n">
        <v>12220</v>
      </c>
      <c r="N233" s="15" t="n">
        <v>0</v>
      </c>
      <c r="O233" s="15" t="n">
        <v>180</v>
      </c>
      <c r="P233" s="14" t="s">
        <v>159</v>
      </c>
      <c r="Q233" s="15" t="s">
        <v>1457</v>
      </c>
      <c r="R233" s="14" t="s">
        <v>1458</v>
      </c>
      <c r="S233" s="14" t="s">
        <v>1459</v>
      </c>
      <c r="T233" s="14" t="s">
        <v>1460</v>
      </c>
      <c r="U233" s="14" t="s">
        <v>1461</v>
      </c>
      <c r="V233" s="14" t="s">
        <v>84</v>
      </c>
      <c r="W233" s="14" t="s">
        <v>85</v>
      </c>
      <c r="X233" s="14"/>
    </row>
    <row r="234" customFormat="false" ht="90" hidden="false" customHeight="true" outlineLevel="0" collapsed="false">
      <c r="A234" s="13" t="s">
        <v>1462</v>
      </c>
      <c r="B234" s="14" t="s">
        <v>42</v>
      </c>
      <c r="C234" s="14" t="s">
        <v>25</v>
      </c>
      <c r="D234" s="14" t="s">
        <v>1463</v>
      </c>
      <c r="E234" s="14" t="s">
        <v>331</v>
      </c>
      <c r="F234" s="14" t="s">
        <v>332</v>
      </c>
      <c r="G234" s="14" t="s">
        <v>77</v>
      </c>
      <c r="H234" s="15" t="n">
        <v>1</v>
      </c>
      <c r="I234" s="15" t="n">
        <v>450</v>
      </c>
      <c r="J234" s="15" t="n">
        <v>450</v>
      </c>
      <c r="K234" s="15" t="n">
        <v>600</v>
      </c>
      <c r="L234" s="15" t="n">
        <v>12100</v>
      </c>
      <c r="M234" s="15" t="n">
        <v>8850</v>
      </c>
      <c r="N234" s="15" t="n">
        <v>0</v>
      </c>
      <c r="O234" s="15" t="n">
        <v>0</v>
      </c>
      <c r="P234" s="14" t="s">
        <v>90</v>
      </c>
      <c r="Q234" s="15" t="s">
        <v>1350</v>
      </c>
      <c r="R234" s="14" t="s">
        <v>334</v>
      </c>
      <c r="S234" s="14" t="s">
        <v>1464</v>
      </c>
      <c r="T234" s="14" t="s">
        <v>1465</v>
      </c>
      <c r="U234" s="14" t="s">
        <v>1466</v>
      </c>
      <c r="V234" s="14" t="s">
        <v>114</v>
      </c>
      <c r="W234" s="14" t="s">
        <v>164</v>
      </c>
      <c r="X234" s="14"/>
    </row>
    <row r="235" customFormat="false" ht="90" hidden="false" customHeight="true" outlineLevel="0" collapsed="false">
      <c r="A235" s="13" t="s">
        <v>1467</v>
      </c>
      <c r="B235" s="14" t="s">
        <v>42</v>
      </c>
      <c r="C235" s="14" t="s">
        <v>25</v>
      </c>
      <c r="D235" s="14" t="s">
        <v>1468</v>
      </c>
      <c r="E235" s="14" t="s">
        <v>167</v>
      </c>
      <c r="F235" s="14" t="s">
        <v>168</v>
      </c>
      <c r="G235" s="14" t="s">
        <v>169</v>
      </c>
      <c r="H235" s="15" t="n">
        <v>1</v>
      </c>
      <c r="I235" s="15" t="n">
        <v>250</v>
      </c>
      <c r="J235" s="15" t="n">
        <v>250</v>
      </c>
      <c r="K235" s="15" t="n">
        <v>150</v>
      </c>
      <c r="L235" s="15" t="n">
        <v>12500</v>
      </c>
      <c r="M235" s="15" t="n">
        <v>11700</v>
      </c>
      <c r="N235" s="15" t="s">
        <v>170</v>
      </c>
      <c r="O235" s="15" t="n">
        <v>0</v>
      </c>
      <c r="P235" s="14" t="s">
        <v>90</v>
      </c>
      <c r="Q235" s="15" t="s">
        <v>1469</v>
      </c>
      <c r="R235" s="14" t="s">
        <v>1470</v>
      </c>
      <c r="S235" s="14" t="s">
        <v>1471</v>
      </c>
      <c r="T235" s="14" t="s">
        <v>174</v>
      </c>
      <c r="U235" s="14" t="s">
        <v>1472</v>
      </c>
      <c r="V235" s="14" t="s">
        <v>114</v>
      </c>
      <c r="W235" s="14" t="s">
        <v>164</v>
      </c>
      <c r="X235" s="14"/>
    </row>
    <row r="236" customFormat="false" ht="90" hidden="false" customHeight="true" outlineLevel="0" collapsed="false">
      <c r="A236" s="13" t="s">
        <v>1473</v>
      </c>
      <c r="B236" s="14" t="s">
        <v>42</v>
      </c>
      <c r="C236" s="14" t="s">
        <v>25</v>
      </c>
      <c r="D236" s="14" t="s">
        <v>1474</v>
      </c>
      <c r="E236" s="14" t="s">
        <v>1361</v>
      </c>
      <c r="F236" s="14" t="s">
        <v>1362</v>
      </c>
      <c r="G236" s="14" t="s">
        <v>77</v>
      </c>
      <c r="H236" s="15" t="n">
        <v>2</v>
      </c>
      <c r="I236" s="15" t="n">
        <v>160</v>
      </c>
      <c r="J236" s="15" t="n">
        <v>160</v>
      </c>
      <c r="K236" s="15" t="n">
        <v>450</v>
      </c>
      <c r="L236" s="15" t="n">
        <v>11950</v>
      </c>
      <c r="M236" s="15" t="n">
        <v>11700</v>
      </c>
      <c r="N236" s="15" t="n">
        <v>0</v>
      </c>
      <c r="O236" s="15" t="n">
        <v>0</v>
      </c>
      <c r="P236" s="14" t="s">
        <v>90</v>
      </c>
      <c r="Q236" s="15" t="s">
        <v>1363</v>
      </c>
      <c r="R236" s="14"/>
      <c r="S236" s="14" t="s">
        <v>1475</v>
      </c>
      <c r="T236" s="14" t="s">
        <v>1476</v>
      </c>
      <c r="U236" s="14" t="s">
        <v>1477</v>
      </c>
      <c r="V236" s="14" t="s">
        <v>84</v>
      </c>
      <c r="W236" s="14" t="s">
        <v>164</v>
      </c>
      <c r="X236" s="14"/>
    </row>
    <row r="237" customFormat="false" ht="90" hidden="false" customHeight="true" outlineLevel="0" collapsed="false">
      <c r="A237" s="13" t="s">
        <v>1478</v>
      </c>
      <c r="B237" s="14" t="s">
        <v>42</v>
      </c>
      <c r="C237" s="14" t="s">
        <v>26</v>
      </c>
      <c r="D237" s="14" t="s">
        <v>1479</v>
      </c>
      <c r="E237" s="14" t="s">
        <v>629</v>
      </c>
      <c r="F237" s="14" t="s">
        <v>630</v>
      </c>
      <c r="G237" s="14" t="s">
        <v>218</v>
      </c>
      <c r="H237" s="15" t="n">
        <v>1</v>
      </c>
      <c r="I237" s="15" t="n">
        <v>3733</v>
      </c>
      <c r="J237" s="15" t="n">
        <v>1255</v>
      </c>
      <c r="K237" s="15" t="n">
        <v>0</v>
      </c>
      <c r="L237" s="15" t="n">
        <v>12378</v>
      </c>
      <c r="M237" s="15" t="n">
        <v>10374</v>
      </c>
      <c r="N237" s="15" t="n">
        <v>0</v>
      </c>
      <c r="O237" s="15" t="n">
        <v>0</v>
      </c>
      <c r="P237" s="14" t="s">
        <v>90</v>
      </c>
      <c r="Q237" s="15" t="s">
        <v>1376</v>
      </c>
      <c r="R237" s="14" t="s">
        <v>1377</v>
      </c>
      <c r="S237" s="14" t="s">
        <v>1480</v>
      </c>
      <c r="T237" s="14" t="s">
        <v>1481</v>
      </c>
      <c r="U237" s="14" t="s">
        <v>1482</v>
      </c>
      <c r="V237" s="14" t="s">
        <v>84</v>
      </c>
      <c r="W237" s="14" t="s">
        <v>213</v>
      </c>
      <c r="X237" s="14"/>
    </row>
    <row r="238" customFormat="false" ht="90" hidden="false" customHeight="true" outlineLevel="0" collapsed="false">
      <c r="A238" s="13" t="s">
        <v>1483</v>
      </c>
      <c r="B238" s="14" t="s">
        <v>42</v>
      </c>
      <c r="C238" s="14" t="s">
        <v>26</v>
      </c>
      <c r="D238" s="14" t="s">
        <v>1484</v>
      </c>
      <c r="E238" s="14" t="s">
        <v>216</v>
      </c>
      <c r="F238" s="14" t="s">
        <v>217</v>
      </c>
      <c r="G238" s="14" t="s">
        <v>218</v>
      </c>
      <c r="H238" s="15" t="n">
        <v>1</v>
      </c>
      <c r="I238" s="15" t="n">
        <v>3733</v>
      </c>
      <c r="J238" s="15" t="n">
        <v>1255</v>
      </c>
      <c r="K238" s="15" t="n">
        <v>15</v>
      </c>
      <c r="L238" s="15" t="n">
        <v>12378</v>
      </c>
      <c r="M238" s="15" t="n">
        <v>10374</v>
      </c>
      <c r="N238" s="15" t="n">
        <v>0</v>
      </c>
      <c r="O238" s="15" t="n">
        <v>0</v>
      </c>
      <c r="P238" s="14" t="s">
        <v>90</v>
      </c>
      <c r="Q238" s="15" t="s">
        <v>1485</v>
      </c>
      <c r="R238" s="14" t="s">
        <v>705</v>
      </c>
      <c r="S238" s="14" t="s">
        <v>1486</v>
      </c>
      <c r="T238" s="14" t="s">
        <v>1487</v>
      </c>
      <c r="U238" s="14" t="s">
        <v>1488</v>
      </c>
      <c r="V238" s="14" t="s">
        <v>84</v>
      </c>
      <c r="W238" s="14" t="s">
        <v>213</v>
      </c>
      <c r="X238" s="14"/>
    </row>
    <row r="239" customFormat="false" ht="90" hidden="false" customHeight="true" outlineLevel="0" collapsed="false">
      <c r="A239" s="13" t="s">
        <v>1489</v>
      </c>
      <c r="B239" s="14" t="s">
        <v>42</v>
      </c>
      <c r="C239" s="14" t="s">
        <v>26</v>
      </c>
      <c r="D239" s="14" t="s">
        <v>1388</v>
      </c>
      <c r="E239" s="14" t="s">
        <v>1389</v>
      </c>
      <c r="F239" s="14" t="s">
        <v>1390</v>
      </c>
      <c r="G239" s="14" t="s">
        <v>245</v>
      </c>
      <c r="H239" s="15" t="n">
        <v>1</v>
      </c>
      <c r="I239" s="15" t="n">
        <v>3640</v>
      </c>
      <c r="J239" s="15" t="n">
        <v>1150</v>
      </c>
      <c r="K239" s="15" t="n">
        <v>60</v>
      </c>
      <c r="L239" s="15" t="n">
        <v>12375</v>
      </c>
      <c r="M239" s="15" t="n">
        <v>10370</v>
      </c>
      <c r="N239" s="15" t="n">
        <v>2750</v>
      </c>
      <c r="O239" s="15" t="n">
        <v>0</v>
      </c>
      <c r="P239" s="14" t="s">
        <v>90</v>
      </c>
      <c r="Q239" s="15" t="s">
        <v>1391</v>
      </c>
      <c r="R239" s="14" t="s">
        <v>705</v>
      </c>
      <c r="S239" s="14" t="s">
        <v>1490</v>
      </c>
      <c r="T239" s="14" t="s">
        <v>1491</v>
      </c>
      <c r="U239" s="14" t="s">
        <v>1492</v>
      </c>
      <c r="V239" s="14" t="s">
        <v>84</v>
      </c>
      <c r="W239" s="14" t="s">
        <v>213</v>
      </c>
      <c r="X239" s="14"/>
    </row>
    <row r="240" customFormat="false" ht="90" hidden="false" customHeight="true" outlineLevel="0" collapsed="false">
      <c r="A240" s="13" t="s">
        <v>1493</v>
      </c>
      <c r="B240" s="14" t="s">
        <v>42</v>
      </c>
      <c r="C240" s="14" t="s">
        <v>27</v>
      </c>
      <c r="D240" s="14" t="s">
        <v>1494</v>
      </c>
      <c r="E240" s="14" t="s">
        <v>277</v>
      </c>
      <c r="F240" s="14" t="s">
        <v>278</v>
      </c>
      <c r="G240" s="14" t="s">
        <v>158</v>
      </c>
      <c r="H240" s="15" t="n">
        <v>1</v>
      </c>
      <c r="I240" s="15" t="n">
        <v>200</v>
      </c>
      <c r="J240" s="15" t="n">
        <v>200</v>
      </c>
      <c r="K240" s="15" t="n">
        <v>200</v>
      </c>
      <c r="L240" s="15" t="n">
        <v>12400</v>
      </c>
      <c r="M240" s="15" t="n">
        <v>12150</v>
      </c>
      <c r="N240" s="15" t="n">
        <v>1500</v>
      </c>
      <c r="O240" s="15" t="n">
        <v>0</v>
      </c>
      <c r="P240" s="14" t="s">
        <v>90</v>
      </c>
      <c r="Q240" s="15" t="s">
        <v>1406</v>
      </c>
      <c r="R240" s="14"/>
      <c r="S240" s="14" t="s">
        <v>1495</v>
      </c>
      <c r="T240" s="14" t="s">
        <v>281</v>
      </c>
      <c r="U240" s="14" t="s">
        <v>1496</v>
      </c>
      <c r="V240" s="14" t="s">
        <v>84</v>
      </c>
      <c r="W240" s="14" t="s">
        <v>266</v>
      </c>
      <c r="X240" s="14"/>
    </row>
    <row r="241" customFormat="false" ht="90" hidden="false" customHeight="true" outlineLevel="0" collapsed="false">
      <c r="A241" s="13" t="s">
        <v>1497</v>
      </c>
      <c r="B241" s="14" t="s">
        <v>42</v>
      </c>
      <c r="C241" s="14" t="s">
        <v>27</v>
      </c>
      <c r="D241" s="14" t="s">
        <v>1498</v>
      </c>
      <c r="E241" s="14" t="s">
        <v>285</v>
      </c>
      <c r="F241" s="14" t="s">
        <v>286</v>
      </c>
      <c r="G241" s="14" t="s">
        <v>245</v>
      </c>
      <c r="H241" s="15" t="n">
        <v>1</v>
      </c>
      <c r="I241" s="15" t="n">
        <v>160</v>
      </c>
      <c r="J241" s="15" t="n">
        <v>160</v>
      </c>
      <c r="K241" s="15" t="n">
        <v>80</v>
      </c>
      <c r="L241" s="15" t="n">
        <v>12600</v>
      </c>
      <c r="M241" s="15" t="n">
        <v>12000</v>
      </c>
      <c r="N241" s="15" t="n">
        <v>2750</v>
      </c>
      <c r="O241" s="15" t="n">
        <v>0</v>
      </c>
      <c r="P241" s="14" t="s">
        <v>90</v>
      </c>
      <c r="Q241" s="15" t="s">
        <v>1418</v>
      </c>
      <c r="R241" s="14" t="s">
        <v>196</v>
      </c>
      <c r="S241" s="14" t="s">
        <v>1499</v>
      </c>
      <c r="T241" s="14" t="s">
        <v>666</v>
      </c>
      <c r="U241" s="14" t="s">
        <v>1500</v>
      </c>
      <c r="V241" s="14" t="s">
        <v>84</v>
      </c>
      <c r="W241" s="14" t="s">
        <v>266</v>
      </c>
      <c r="X241" s="14"/>
    </row>
    <row r="242" customFormat="false" ht="90" hidden="false" customHeight="true" outlineLevel="0" collapsed="false">
      <c r="A242" s="13" t="s">
        <v>1501</v>
      </c>
      <c r="B242" s="14" t="s">
        <v>42</v>
      </c>
      <c r="C242" s="14" t="s">
        <v>27</v>
      </c>
      <c r="D242" s="14" t="s">
        <v>1502</v>
      </c>
      <c r="E242" s="14" t="s">
        <v>302</v>
      </c>
      <c r="F242" s="14" t="s">
        <v>303</v>
      </c>
      <c r="G242" s="14" t="s">
        <v>169</v>
      </c>
      <c r="H242" s="15" t="n">
        <v>1</v>
      </c>
      <c r="I242" s="15" t="n">
        <v>250</v>
      </c>
      <c r="J242" s="15" t="n">
        <v>250</v>
      </c>
      <c r="K242" s="15" t="n">
        <v>150</v>
      </c>
      <c r="L242" s="15" t="n">
        <v>12200</v>
      </c>
      <c r="M242" s="15" t="n">
        <v>9600</v>
      </c>
      <c r="N242" s="15" t="s">
        <v>170</v>
      </c>
      <c r="O242" s="15" t="n">
        <v>0</v>
      </c>
      <c r="P242" s="14" t="s">
        <v>90</v>
      </c>
      <c r="Q242" s="15" t="s">
        <v>933</v>
      </c>
      <c r="R242" s="14"/>
      <c r="S242" s="14" t="s">
        <v>1503</v>
      </c>
      <c r="T242" s="14" t="s">
        <v>307</v>
      </c>
      <c r="U242" s="14" t="s">
        <v>1504</v>
      </c>
      <c r="V242" s="14" t="s">
        <v>84</v>
      </c>
      <c r="W242" s="14" t="s">
        <v>266</v>
      </c>
      <c r="X242" s="14"/>
    </row>
    <row r="243" customFormat="false" ht="90" hidden="false" customHeight="true" outlineLevel="0" collapsed="false">
      <c r="A243" s="13" t="s">
        <v>1505</v>
      </c>
      <c r="B243" s="14" t="s">
        <v>43</v>
      </c>
      <c r="C243" s="14" t="s">
        <v>24</v>
      </c>
      <c r="D243" s="14" t="s">
        <v>1506</v>
      </c>
      <c r="E243" s="14" t="s">
        <v>1507</v>
      </c>
      <c r="F243" s="14" t="s">
        <v>1508</v>
      </c>
      <c r="G243" s="14" t="s">
        <v>77</v>
      </c>
      <c r="H243" s="15" t="n">
        <v>1</v>
      </c>
      <c r="I243" s="15" t="n">
        <v>4329</v>
      </c>
      <c r="J243" s="15" t="n">
        <v>2173</v>
      </c>
      <c r="K243" s="15" t="n">
        <v>3348</v>
      </c>
      <c r="L243" s="15" t="n">
        <v>5324</v>
      </c>
      <c r="M243" s="15" t="n">
        <v>2394</v>
      </c>
      <c r="N243" s="15" t="n">
        <v>0</v>
      </c>
      <c r="O243" s="15" t="n">
        <v>0</v>
      </c>
      <c r="P243" s="14" t="s">
        <v>90</v>
      </c>
      <c r="Q243" s="15" t="s">
        <v>1509</v>
      </c>
      <c r="R243" s="14" t="s">
        <v>1510</v>
      </c>
      <c r="S243" s="14" t="s">
        <v>1511</v>
      </c>
      <c r="T243" s="14" t="s">
        <v>1512</v>
      </c>
      <c r="U243" s="14" t="s">
        <v>1513</v>
      </c>
      <c r="V243" s="14" t="s">
        <v>114</v>
      </c>
      <c r="W243" s="14" t="s">
        <v>85</v>
      </c>
      <c r="X243" s="14"/>
    </row>
    <row r="244" customFormat="false" ht="90" hidden="false" customHeight="true" outlineLevel="0" collapsed="false">
      <c r="A244" s="13" t="s">
        <v>1514</v>
      </c>
      <c r="B244" s="14" t="s">
        <v>43</v>
      </c>
      <c r="C244" s="14" t="s">
        <v>24</v>
      </c>
      <c r="D244" s="14" t="s">
        <v>1515</v>
      </c>
      <c r="E244" s="14" t="s">
        <v>331</v>
      </c>
      <c r="F244" s="14" t="s">
        <v>332</v>
      </c>
      <c r="G244" s="14" t="s">
        <v>77</v>
      </c>
      <c r="H244" s="15" t="n">
        <v>1</v>
      </c>
      <c r="I244" s="15" t="n">
        <v>420</v>
      </c>
      <c r="J244" s="15" t="n">
        <v>420</v>
      </c>
      <c r="K244" s="15" t="n">
        <v>600</v>
      </c>
      <c r="L244" s="15" t="n">
        <v>4550</v>
      </c>
      <c r="M244" s="15" t="n">
        <v>600</v>
      </c>
      <c r="N244" s="15" t="n">
        <v>0</v>
      </c>
      <c r="O244" s="15" t="n">
        <v>0</v>
      </c>
      <c r="P244" s="14" t="s">
        <v>90</v>
      </c>
      <c r="Q244" s="15" t="s">
        <v>333</v>
      </c>
      <c r="R244" s="14" t="s">
        <v>334</v>
      </c>
      <c r="S244" s="14" t="s">
        <v>1516</v>
      </c>
      <c r="T244" s="14" t="s">
        <v>1517</v>
      </c>
      <c r="U244" s="14" t="s">
        <v>1518</v>
      </c>
      <c r="V244" s="14" t="s">
        <v>114</v>
      </c>
      <c r="W244" s="14" t="s">
        <v>85</v>
      </c>
      <c r="X244" s="14" t="s">
        <v>1519</v>
      </c>
    </row>
    <row r="245" customFormat="false" ht="90" hidden="false" customHeight="true" outlineLevel="0" collapsed="false">
      <c r="A245" s="13" t="s">
        <v>1520</v>
      </c>
      <c r="B245" s="14" t="s">
        <v>43</v>
      </c>
      <c r="C245" s="14" t="s">
        <v>25</v>
      </c>
      <c r="D245" s="14" t="s">
        <v>1521</v>
      </c>
      <c r="E245" s="14" t="s">
        <v>156</v>
      </c>
      <c r="F245" s="14" t="s">
        <v>157</v>
      </c>
      <c r="G245" s="14" t="s">
        <v>158</v>
      </c>
      <c r="H245" s="15" t="n">
        <v>1</v>
      </c>
      <c r="I245" s="15" t="n">
        <v>600</v>
      </c>
      <c r="J245" s="15" t="n">
        <v>40</v>
      </c>
      <c r="K245" s="15" t="n">
        <v>800</v>
      </c>
      <c r="L245" s="15" t="n">
        <v>4258</v>
      </c>
      <c r="M245" s="15" t="n">
        <v>700</v>
      </c>
      <c r="N245" s="15" t="n">
        <v>1100</v>
      </c>
      <c r="O245" s="15" t="n">
        <v>270</v>
      </c>
      <c r="P245" s="14" t="s">
        <v>120</v>
      </c>
      <c r="Q245" s="15" t="s">
        <v>160</v>
      </c>
      <c r="R245" s="14"/>
      <c r="S245" s="14" t="s">
        <v>1522</v>
      </c>
      <c r="T245" s="14" t="s">
        <v>1523</v>
      </c>
      <c r="U245" s="14" t="s">
        <v>1524</v>
      </c>
      <c r="V245" s="14" t="s">
        <v>84</v>
      </c>
      <c r="W245" s="14" t="s">
        <v>164</v>
      </c>
      <c r="X245" s="14"/>
    </row>
    <row r="246" customFormat="false" ht="90" hidden="false" customHeight="true" outlineLevel="0" collapsed="false">
      <c r="A246" s="13" t="s">
        <v>1525</v>
      </c>
      <c r="B246" s="14" t="s">
        <v>43</v>
      </c>
      <c r="C246" s="14" t="s">
        <v>25</v>
      </c>
      <c r="D246" s="14" t="s">
        <v>1526</v>
      </c>
      <c r="E246" s="14" t="s">
        <v>156</v>
      </c>
      <c r="F246" s="14" t="s">
        <v>157</v>
      </c>
      <c r="G246" s="14" t="s">
        <v>158</v>
      </c>
      <c r="H246" s="15" t="n">
        <v>3</v>
      </c>
      <c r="I246" s="15" t="n">
        <v>500</v>
      </c>
      <c r="J246" s="15" t="n">
        <v>40</v>
      </c>
      <c r="K246" s="15" t="n">
        <v>650</v>
      </c>
      <c r="L246" s="15" t="n">
        <v>4258</v>
      </c>
      <c r="M246" s="15" t="n">
        <v>2750</v>
      </c>
      <c r="N246" s="15" t="n">
        <v>1175</v>
      </c>
      <c r="O246" s="15" t="n">
        <v>270</v>
      </c>
      <c r="P246" s="14" t="s">
        <v>120</v>
      </c>
      <c r="Q246" s="15" t="s">
        <v>160</v>
      </c>
      <c r="R246" s="14"/>
      <c r="S246" s="14" t="s">
        <v>1527</v>
      </c>
      <c r="T246" s="14" t="s">
        <v>1528</v>
      </c>
      <c r="U246" s="14" t="s">
        <v>1529</v>
      </c>
      <c r="V246" s="14" t="s">
        <v>84</v>
      </c>
      <c r="W246" s="14" t="s">
        <v>164</v>
      </c>
      <c r="X246" s="14"/>
    </row>
    <row r="247" customFormat="false" ht="90" hidden="false" customHeight="true" outlineLevel="0" collapsed="false">
      <c r="A247" s="13" t="s">
        <v>1530</v>
      </c>
      <c r="B247" s="14" t="s">
        <v>43</v>
      </c>
      <c r="C247" s="14" t="s">
        <v>25</v>
      </c>
      <c r="D247" s="14" t="s">
        <v>1531</v>
      </c>
      <c r="E247" s="14" t="s">
        <v>720</v>
      </c>
      <c r="F247" s="14" t="s">
        <v>721</v>
      </c>
      <c r="G247" s="14" t="s">
        <v>158</v>
      </c>
      <c r="H247" s="15" t="n">
        <v>1</v>
      </c>
      <c r="I247" s="15" t="n">
        <v>700</v>
      </c>
      <c r="J247" s="15" t="n">
        <v>40</v>
      </c>
      <c r="K247" s="15" t="n">
        <v>900</v>
      </c>
      <c r="L247" s="15" t="n">
        <v>5350</v>
      </c>
      <c r="M247" s="15" t="n">
        <v>250</v>
      </c>
      <c r="N247" s="15" t="n">
        <v>0</v>
      </c>
      <c r="O247" s="15" t="n">
        <v>0</v>
      </c>
      <c r="P247" s="14" t="s">
        <v>183</v>
      </c>
      <c r="Q247" s="15" t="s">
        <v>1532</v>
      </c>
      <c r="R247" s="14" t="s">
        <v>441</v>
      </c>
      <c r="S247" s="14" t="s">
        <v>1533</v>
      </c>
      <c r="T247" s="14" t="s">
        <v>1534</v>
      </c>
      <c r="U247" s="14" t="s">
        <v>1535</v>
      </c>
      <c r="V247" s="14" t="s">
        <v>84</v>
      </c>
      <c r="W247" s="14" t="s">
        <v>164</v>
      </c>
      <c r="X247" s="14"/>
    </row>
    <row r="248" customFormat="false" ht="90" hidden="false" customHeight="true" outlineLevel="0" collapsed="false">
      <c r="A248" s="13" t="s">
        <v>1536</v>
      </c>
      <c r="B248" s="14" t="s">
        <v>43</v>
      </c>
      <c r="C248" s="14" t="s">
        <v>26</v>
      </c>
      <c r="D248" s="14" t="s">
        <v>1537</v>
      </c>
      <c r="E248" s="14" t="s">
        <v>629</v>
      </c>
      <c r="F248" s="14" t="s">
        <v>630</v>
      </c>
      <c r="G248" s="14" t="s">
        <v>218</v>
      </c>
      <c r="H248" s="15" t="n">
        <v>1</v>
      </c>
      <c r="I248" s="15" t="n">
        <v>4329</v>
      </c>
      <c r="J248" s="15" t="n">
        <v>2173</v>
      </c>
      <c r="K248" s="15" t="n">
        <v>0</v>
      </c>
      <c r="L248" s="15" t="n">
        <v>5324</v>
      </c>
      <c r="M248" s="15" t="n">
        <v>2394</v>
      </c>
      <c r="N248" s="15" t="n">
        <v>0</v>
      </c>
      <c r="O248" s="15" t="n">
        <v>0</v>
      </c>
      <c r="P248" s="14" t="s">
        <v>90</v>
      </c>
      <c r="Q248" s="15" t="s">
        <v>1538</v>
      </c>
      <c r="R248" s="14" t="s">
        <v>92</v>
      </c>
      <c r="S248" s="14" t="s">
        <v>1539</v>
      </c>
      <c r="T248" s="14" t="s">
        <v>1540</v>
      </c>
      <c r="U248" s="14" t="s">
        <v>1541</v>
      </c>
      <c r="V248" s="14" t="s">
        <v>84</v>
      </c>
      <c r="W248" s="14" t="s">
        <v>213</v>
      </c>
      <c r="X248" s="14"/>
    </row>
    <row r="249" customFormat="false" ht="90" hidden="false" customHeight="true" outlineLevel="0" collapsed="false">
      <c r="A249" s="13" t="s">
        <v>1542</v>
      </c>
      <c r="B249" s="14" t="s">
        <v>43</v>
      </c>
      <c r="C249" s="14" t="s">
        <v>26</v>
      </c>
      <c r="D249" s="14" t="s">
        <v>1543</v>
      </c>
      <c r="E249" s="14" t="s">
        <v>252</v>
      </c>
      <c r="F249" s="14" t="s">
        <v>253</v>
      </c>
      <c r="G249" s="14" t="s">
        <v>77</v>
      </c>
      <c r="H249" s="15" t="n">
        <v>1</v>
      </c>
      <c r="I249" s="15" t="n">
        <v>250</v>
      </c>
      <c r="J249" s="15" t="n">
        <v>250</v>
      </c>
      <c r="K249" s="15" t="n">
        <v>5</v>
      </c>
      <c r="L249" s="15" t="n">
        <v>4800</v>
      </c>
      <c r="M249" s="15" t="n">
        <v>2500</v>
      </c>
      <c r="N249" s="15" t="n">
        <v>0</v>
      </c>
      <c r="O249" s="15" t="n">
        <v>0</v>
      </c>
      <c r="P249" s="14" t="s">
        <v>90</v>
      </c>
      <c r="Q249" s="15" t="s">
        <v>344</v>
      </c>
      <c r="R249" s="14" t="s">
        <v>92</v>
      </c>
      <c r="S249" s="14" t="s">
        <v>1544</v>
      </c>
      <c r="T249" s="14" t="s">
        <v>1165</v>
      </c>
      <c r="U249" s="14" t="s">
        <v>1545</v>
      </c>
      <c r="V249" s="14" t="s">
        <v>84</v>
      </c>
      <c r="W249" s="14" t="s">
        <v>213</v>
      </c>
      <c r="X249" s="14"/>
    </row>
    <row r="250" customFormat="false" ht="90" hidden="false" customHeight="true" outlineLevel="0" collapsed="false">
      <c r="A250" s="13" t="s">
        <v>1546</v>
      </c>
      <c r="B250" s="14" t="s">
        <v>43</v>
      </c>
      <c r="C250" s="14" t="s">
        <v>26</v>
      </c>
      <c r="D250" s="14" t="s">
        <v>1547</v>
      </c>
      <c r="E250" s="14" t="s">
        <v>359</v>
      </c>
      <c r="F250" s="14" t="s">
        <v>360</v>
      </c>
      <c r="G250" s="14" t="s">
        <v>169</v>
      </c>
      <c r="H250" s="15" t="n">
        <v>1</v>
      </c>
      <c r="I250" s="15" t="n">
        <v>3100</v>
      </c>
      <c r="J250" s="15" t="n">
        <v>41</v>
      </c>
      <c r="K250" s="15" t="n">
        <v>10</v>
      </c>
      <c r="L250" s="15" t="n">
        <v>6390</v>
      </c>
      <c r="M250" s="15" t="n">
        <v>2750</v>
      </c>
      <c r="N250" s="15" t="s">
        <v>170</v>
      </c>
      <c r="O250" s="15" t="n">
        <v>90</v>
      </c>
      <c r="P250" s="14" t="s">
        <v>78</v>
      </c>
      <c r="Q250" s="15" t="s">
        <v>1548</v>
      </c>
      <c r="R250" s="14"/>
      <c r="S250" s="14" t="s">
        <v>1549</v>
      </c>
      <c r="T250" s="14" t="s">
        <v>1550</v>
      </c>
      <c r="U250" s="14" t="s">
        <v>1551</v>
      </c>
      <c r="V250" s="14" t="s">
        <v>84</v>
      </c>
      <c r="W250" s="14" t="s">
        <v>213</v>
      </c>
      <c r="X250" s="14"/>
    </row>
    <row r="251" customFormat="false" ht="90" hidden="false" customHeight="true" outlineLevel="0" collapsed="false">
      <c r="A251" s="13" t="s">
        <v>1552</v>
      </c>
      <c r="B251" s="14" t="s">
        <v>43</v>
      </c>
      <c r="C251" s="14" t="s">
        <v>27</v>
      </c>
      <c r="D251" s="14" t="s">
        <v>1553</v>
      </c>
      <c r="E251" s="14" t="s">
        <v>359</v>
      </c>
      <c r="F251" s="14" t="s">
        <v>360</v>
      </c>
      <c r="G251" s="14" t="s">
        <v>169</v>
      </c>
      <c r="H251" s="15" t="n">
        <v>1</v>
      </c>
      <c r="I251" s="15" t="n">
        <v>3200</v>
      </c>
      <c r="J251" s="15" t="n">
        <v>40</v>
      </c>
      <c r="K251" s="15" t="n">
        <v>10</v>
      </c>
      <c r="L251" s="15" t="n">
        <v>4310</v>
      </c>
      <c r="M251" s="15" t="n">
        <v>2750</v>
      </c>
      <c r="N251" s="15" t="s">
        <v>170</v>
      </c>
      <c r="O251" s="15" t="n">
        <v>0</v>
      </c>
      <c r="P251" s="14" t="s">
        <v>90</v>
      </c>
      <c r="Q251" s="15" t="s">
        <v>1554</v>
      </c>
      <c r="R251" s="14"/>
      <c r="S251" s="14" t="s">
        <v>1555</v>
      </c>
      <c r="T251" s="14" t="s">
        <v>655</v>
      </c>
      <c r="U251" s="14" t="s">
        <v>1556</v>
      </c>
      <c r="V251" s="14" t="s">
        <v>84</v>
      </c>
      <c r="W251" s="14" t="s">
        <v>266</v>
      </c>
      <c r="X251" s="14"/>
    </row>
    <row r="252" customFormat="false" ht="90" hidden="false" customHeight="true" outlineLevel="0" collapsed="false">
      <c r="A252" s="13" t="s">
        <v>1557</v>
      </c>
      <c r="B252" s="14" t="s">
        <v>43</v>
      </c>
      <c r="C252" s="14" t="s">
        <v>27</v>
      </c>
      <c r="D252" s="14" t="s">
        <v>1558</v>
      </c>
      <c r="E252" s="14" t="s">
        <v>260</v>
      </c>
      <c r="F252" s="14" t="s">
        <v>261</v>
      </c>
      <c r="G252" s="14" t="s">
        <v>245</v>
      </c>
      <c r="H252" s="15" t="n">
        <v>1</v>
      </c>
      <c r="I252" s="15" t="n">
        <v>700</v>
      </c>
      <c r="J252" s="15" t="n">
        <v>700</v>
      </c>
      <c r="K252" s="15" t="n">
        <v>600</v>
      </c>
      <c r="L252" s="15" t="n">
        <v>5330</v>
      </c>
      <c r="M252" s="15" t="n">
        <v>2500</v>
      </c>
      <c r="N252" s="15" t="n">
        <v>2750</v>
      </c>
      <c r="O252" s="15" t="n">
        <v>0</v>
      </c>
      <c r="P252" s="14" t="s">
        <v>90</v>
      </c>
      <c r="Q252" s="15" t="s">
        <v>1559</v>
      </c>
      <c r="R252" s="14" t="s">
        <v>570</v>
      </c>
      <c r="S252" s="14" t="s">
        <v>1560</v>
      </c>
      <c r="T252" s="14" t="s">
        <v>1561</v>
      </c>
      <c r="U252" s="14" t="s">
        <v>1562</v>
      </c>
      <c r="V252" s="14" t="s">
        <v>114</v>
      </c>
      <c r="W252" s="14" t="s">
        <v>266</v>
      </c>
      <c r="X252" s="14"/>
    </row>
    <row r="253" customFormat="false" ht="90" hidden="false" customHeight="true" outlineLevel="0" collapsed="false">
      <c r="A253" s="13" t="s">
        <v>1563</v>
      </c>
      <c r="B253" s="14" t="s">
        <v>44</v>
      </c>
      <c r="C253" s="14" t="s">
        <v>24</v>
      </c>
      <c r="D253" s="14" t="s">
        <v>1564</v>
      </c>
      <c r="E253" s="14" t="s">
        <v>98</v>
      </c>
      <c r="F253" s="14" t="s">
        <v>99</v>
      </c>
      <c r="G253" s="14" t="s">
        <v>77</v>
      </c>
      <c r="H253" s="15" t="n">
        <v>1</v>
      </c>
      <c r="I253" s="15" t="n">
        <v>800</v>
      </c>
      <c r="J253" s="15" t="n">
        <v>300</v>
      </c>
      <c r="K253" s="15" t="n">
        <v>800</v>
      </c>
      <c r="L253" s="15" t="n">
        <v>6020</v>
      </c>
      <c r="M253" s="15" t="n">
        <v>8127</v>
      </c>
      <c r="N253" s="15" t="n">
        <v>0</v>
      </c>
      <c r="O253" s="15" t="n">
        <v>0</v>
      </c>
      <c r="P253" s="14" t="s">
        <v>90</v>
      </c>
      <c r="Q253" s="15" t="s">
        <v>1565</v>
      </c>
      <c r="R253" s="14" t="s">
        <v>101</v>
      </c>
      <c r="S253" s="14" t="s">
        <v>1566</v>
      </c>
      <c r="T253" s="14" t="s">
        <v>1567</v>
      </c>
      <c r="U253" s="14" t="s">
        <v>1568</v>
      </c>
      <c r="V253" s="14" t="s">
        <v>84</v>
      </c>
      <c r="W253" s="14" t="s">
        <v>85</v>
      </c>
      <c r="X253" s="14" t="s">
        <v>1569</v>
      </c>
    </row>
    <row r="254" customFormat="false" ht="90" hidden="false" customHeight="true" outlineLevel="0" collapsed="false">
      <c r="A254" s="13" t="s">
        <v>1570</v>
      </c>
      <c r="B254" s="14" t="s">
        <v>44</v>
      </c>
      <c r="C254" s="14" t="s">
        <v>25</v>
      </c>
      <c r="D254" s="14" t="s">
        <v>1571</v>
      </c>
      <c r="E254" s="14" t="s">
        <v>481</v>
      </c>
      <c r="F254" s="14" t="s">
        <v>482</v>
      </c>
      <c r="G254" s="14" t="s">
        <v>158</v>
      </c>
      <c r="H254" s="15" t="n">
        <v>1</v>
      </c>
      <c r="I254" s="15" t="n">
        <v>500</v>
      </c>
      <c r="J254" s="15" t="n">
        <v>37</v>
      </c>
      <c r="K254" s="15" t="n">
        <v>900</v>
      </c>
      <c r="L254" s="15" t="n">
        <v>6020</v>
      </c>
      <c r="M254" s="15" t="n">
        <v>8258</v>
      </c>
      <c r="N254" s="15" t="n">
        <v>1050</v>
      </c>
      <c r="O254" s="15" t="n">
        <v>0</v>
      </c>
      <c r="P254" s="14" t="s">
        <v>183</v>
      </c>
      <c r="Q254" s="15" t="s">
        <v>1572</v>
      </c>
      <c r="R254" s="14" t="s">
        <v>196</v>
      </c>
      <c r="S254" s="14" t="s">
        <v>1573</v>
      </c>
      <c r="T254" s="14" t="s">
        <v>1574</v>
      </c>
      <c r="U254" s="14" t="s">
        <v>1575</v>
      </c>
      <c r="V254" s="14" t="s">
        <v>84</v>
      </c>
      <c r="W254" s="14" t="s">
        <v>164</v>
      </c>
      <c r="X254" s="14"/>
    </row>
    <row r="255" customFormat="false" ht="90" hidden="false" customHeight="true" outlineLevel="0" collapsed="false">
      <c r="A255" s="13" t="s">
        <v>1576</v>
      </c>
      <c r="B255" s="14" t="s">
        <v>44</v>
      </c>
      <c r="C255" s="14" t="s">
        <v>25</v>
      </c>
      <c r="D255" s="14" t="s">
        <v>877</v>
      </c>
      <c r="E255" s="14" t="s">
        <v>167</v>
      </c>
      <c r="F255" s="14" t="s">
        <v>168</v>
      </c>
      <c r="G255" s="14" t="s">
        <v>169</v>
      </c>
      <c r="H255" s="15" t="n">
        <v>1</v>
      </c>
      <c r="I255" s="15" t="n">
        <v>250</v>
      </c>
      <c r="J255" s="15" t="n">
        <v>250</v>
      </c>
      <c r="K255" s="15" t="n">
        <v>150</v>
      </c>
      <c r="L255" s="15" t="n">
        <v>6020</v>
      </c>
      <c r="M255" s="15" t="n">
        <v>8130</v>
      </c>
      <c r="N255" s="15" t="s">
        <v>170</v>
      </c>
      <c r="O255" s="15" t="n">
        <v>0</v>
      </c>
      <c r="P255" s="14" t="s">
        <v>90</v>
      </c>
      <c r="Q255" s="15" t="s">
        <v>878</v>
      </c>
      <c r="R255" s="14" t="s">
        <v>172</v>
      </c>
      <c r="S255" s="14" t="s">
        <v>879</v>
      </c>
      <c r="T255" s="14" t="s">
        <v>174</v>
      </c>
      <c r="U255" s="14" t="s">
        <v>1577</v>
      </c>
      <c r="V255" s="14" t="s">
        <v>84</v>
      </c>
      <c r="W255" s="14" t="s">
        <v>164</v>
      </c>
      <c r="X255" s="14"/>
    </row>
    <row r="256" customFormat="false" ht="90" hidden="false" customHeight="true" outlineLevel="0" collapsed="false">
      <c r="A256" s="13" t="s">
        <v>1578</v>
      </c>
      <c r="B256" s="14" t="s">
        <v>44</v>
      </c>
      <c r="C256" s="14" t="s">
        <v>25</v>
      </c>
      <c r="D256" s="14" t="s">
        <v>1579</v>
      </c>
      <c r="E256" s="14" t="s">
        <v>1580</v>
      </c>
      <c r="F256" s="14" t="s">
        <v>1581</v>
      </c>
      <c r="G256" s="14" t="s">
        <v>158</v>
      </c>
      <c r="H256" s="15" t="n">
        <v>1</v>
      </c>
      <c r="I256" s="15" t="n">
        <v>1010</v>
      </c>
      <c r="J256" s="15" t="n">
        <v>40</v>
      </c>
      <c r="K256" s="15" t="n">
        <v>2100</v>
      </c>
      <c r="L256" s="15" t="n">
        <v>5049</v>
      </c>
      <c r="M256" s="15" t="n">
        <v>8257</v>
      </c>
      <c r="N256" s="15" t="n">
        <v>0</v>
      </c>
      <c r="O256" s="15" t="n">
        <v>0</v>
      </c>
      <c r="P256" s="14" t="s">
        <v>183</v>
      </c>
      <c r="Q256" s="15" t="s">
        <v>1582</v>
      </c>
      <c r="R256" s="14" t="s">
        <v>196</v>
      </c>
      <c r="S256" s="14" t="s">
        <v>1583</v>
      </c>
      <c r="T256" s="14" t="s">
        <v>1584</v>
      </c>
      <c r="U256" s="14" t="s">
        <v>1585</v>
      </c>
      <c r="V256" s="14" t="s">
        <v>84</v>
      </c>
      <c r="W256" s="14" t="s">
        <v>164</v>
      </c>
      <c r="X256" s="14"/>
    </row>
    <row r="257" customFormat="false" ht="90" hidden="false" customHeight="true" outlineLevel="0" collapsed="false">
      <c r="A257" s="13" t="s">
        <v>1586</v>
      </c>
      <c r="B257" s="14" t="s">
        <v>44</v>
      </c>
      <c r="C257" s="14" t="s">
        <v>26</v>
      </c>
      <c r="D257" s="14" t="s">
        <v>1587</v>
      </c>
      <c r="E257" s="14" t="s">
        <v>1580</v>
      </c>
      <c r="F257" s="14" t="s">
        <v>1581</v>
      </c>
      <c r="G257" s="14" t="s">
        <v>158</v>
      </c>
      <c r="H257" s="15" t="n">
        <v>2</v>
      </c>
      <c r="I257" s="15" t="n">
        <v>100</v>
      </c>
      <c r="J257" s="15" t="n">
        <v>40</v>
      </c>
      <c r="K257" s="15" t="n">
        <v>2100</v>
      </c>
      <c r="L257" s="15" t="n">
        <v>4494</v>
      </c>
      <c r="M257" s="15" t="n">
        <v>8257</v>
      </c>
      <c r="N257" s="15" t="n">
        <v>0</v>
      </c>
      <c r="O257" s="15" t="n">
        <v>0</v>
      </c>
      <c r="P257" s="14" t="s">
        <v>183</v>
      </c>
      <c r="Q257" s="15" t="s">
        <v>1588</v>
      </c>
      <c r="R257" s="14" t="s">
        <v>1589</v>
      </c>
      <c r="S257" s="14" t="s">
        <v>1590</v>
      </c>
      <c r="T257" s="14" t="s">
        <v>1591</v>
      </c>
      <c r="U257" s="14" t="s">
        <v>1592</v>
      </c>
      <c r="V257" s="14" t="s">
        <v>84</v>
      </c>
      <c r="W257" s="14" t="s">
        <v>213</v>
      </c>
      <c r="X257" s="14"/>
    </row>
    <row r="258" customFormat="false" ht="90" hidden="false" customHeight="true" outlineLevel="0" collapsed="false">
      <c r="A258" s="13" t="s">
        <v>1593</v>
      </c>
      <c r="B258" s="14" t="s">
        <v>44</v>
      </c>
      <c r="C258" s="14" t="s">
        <v>26</v>
      </c>
      <c r="D258" s="14" t="s">
        <v>1594</v>
      </c>
      <c r="E258" s="14" t="s">
        <v>252</v>
      </c>
      <c r="F258" s="14" t="s">
        <v>253</v>
      </c>
      <c r="G258" s="14" t="s">
        <v>77</v>
      </c>
      <c r="H258" s="15" t="n">
        <v>1</v>
      </c>
      <c r="I258" s="15" t="n">
        <v>1010</v>
      </c>
      <c r="J258" s="15" t="n">
        <v>50</v>
      </c>
      <c r="K258" s="15" t="n">
        <v>5</v>
      </c>
      <c r="L258" s="15" t="n">
        <v>5049</v>
      </c>
      <c r="M258" s="15" t="n">
        <v>8205</v>
      </c>
      <c r="N258" s="15" t="n">
        <v>0</v>
      </c>
      <c r="O258" s="15" t="n">
        <v>0</v>
      </c>
      <c r="P258" s="14" t="s">
        <v>183</v>
      </c>
      <c r="Q258" s="15" t="s">
        <v>1595</v>
      </c>
      <c r="R258" s="14" t="s">
        <v>441</v>
      </c>
      <c r="S258" s="14" t="s">
        <v>1596</v>
      </c>
      <c r="T258" s="14" t="s">
        <v>1597</v>
      </c>
      <c r="U258" s="14" t="s">
        <v>1598</v>
      </c>
      <c r="V258" s="14" t="s">
        <v>84</v>
      </c>
      <c r="W258" s="14" t="s">
        <v>213</v>
      </c>
      <c r="X258" s="14"/>
    </row>
    <row r="259" customFormat="false" ht="90" hidden="false" customHeight="true" outlineLevel="0" collapsed="false">
      <c r="A259" s="13" t="s">
        <v>1599</v>
      </c>
      <c r="B259" s="14" t="s">
        <v>44</v>
      </c>
      <c r="C259" s="14" t="s">
        <v>27</v>
      </c>
      <c r="D259" s="14" t="s">
        <v>1600</v>
      </c>
      <c r="E259" s="14" t="s">
        <v>285</v>
      </c>
      <c r="F259" s="14" t="s">
        <v>286</v>
      </c>
      <c r="G259" s="14" t="s">
        <v>245</v>
      </c>
      <c r="H259" s="15" t="n">
        <v>1</v>
      </c>
      <c r="I259" s="15" t="n">
        <v>200</v>
      </c>
      <c r="J259" s="15" t="n">
        <v>200</v>
      </c>
      <c r="K259" s="15" t="n">
        <v>80</v>
      </c>
      <c r="L259" s="15" t="n">
        <v>5050</v>
      </c>
      <c r="M259" s="15" t="n">
        <v>7900</v>
      </c>
      <c r="N259" s="15" t="n">
        <v>2750</v>
      </c>
      <c r="O259" s="15" t="n">
        <v>0</v>
      </c>
      <c r="P259" s="14" t="s">
        <v>90</v>
      </c>
      <c r="Q259" s="15" t="s">
        <v>1601</v>
      </c>
      <c r="R259" s="14" t="s">
        <v>196</v>
      </c>
      <c r="S259" s="14" t="s">
        <v>1602</v>
      </c>
      <c r="T259" s="14" t="s">
        <v>805</v>
      </c>
      <c r="U259" s="14" t="s">
        <v>1603</v>
      </c>
      <c r="V259" s="14" t="s">
        <v>84</v>
      </c>
      <c r="W259" s="14" t="s">
        <v>266</v>
      </c>
      <c r="X259" s="14"/>
    </row>
    <row r="260" customFormat="false" ht="90" hidden="false" customHeight="true" outlineLevel="0" collapsed="false">
      <c r="A260" s="13" t="s">
        <v>1604</v>
      </c>
      <c r="B260" s="14" t="s">
        <v>44</v>
      </c>
      <c r="C260" s="14" t="s">
        <v>27</v>
      </c>
      <c r="D260" s="14" t="s">
        <v>1605</v>
      </c>
      <c r="E260" s="14" t="s">
        <v>277</v>
      </c>
      <c r="F260" s="14" t="s">
        <v>278</v>
      </c>
      <c r="G260" s="14" t="s">
        <v>158</v>
      </c>
      <c r="H260" s="15" t="n">
        <v>2</v>
      </c>
      <c r="I260" s="15" t="n">
        <v>180</v>
      </c>
      <c r="J260" s="15" t="n">
        <v>180</v>
      </c>
      <c r="K260" s="15" t="n">
        <v>200</v>
      </c>
      <c r="L260" s="15" t="n">
        <v>5600</v>
      </c>
      <c r="M260" s="15" t="n">
        <v>8170</v>
      </c>
      <c r="N260" s="15" t="n">
        <v>1500</v>
      </c>
      <c r="O260" s="15" t="n">
        <v>0</v>
      </c>
      <c r="P260" s="14" t="s">
        <v>90</v>
      </c>
      <c r="Q260" s="15" t="s">
        <v>1606</v>
      </c>
      <c r="R260" s="14" t="s">
        <v>196</v>
      </c>
      <c r="S260" s="14" t="s">
        <v>1607</v>
      </c>
      <c r="T260" s="14" t="s">
        <v>788</v>
      </c>
      <c r="U260" s="14" t="s">
        <v>1608</v>
      </c>
      <c r="V260" s="14" t="s">
        <v>84</v>
      </c>
      <c r="W260" s="14" t="s">
        <v>266</v>
      </c>
      <c r="X260"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40"/>
    <col collapsed="false" customWidth="true" hidden="false" outlineLevel="0" max="7" min="4" style="1" width="9"/>
    <col collapsed="false" customWidth="true" hidden="false" outlineLevel="0" max="9" min="8" style="1" width="12"/>
    <col collapsed="false" customWidth="true" hidden="false" outlineLevel="0" max="10" min="10" style="1" width="8"/>
    <col collapsed="false" customWidth="true" hidden="false" outlineLevel="0" max="11" min="11" style="1" width="24"/>
  </cols>
  <sheetData>
    <row r="1" customFormat="false" ht="31.5" hidden="false" customHeight="true" outlineLevel="0" collapsed="false">
      <c r="A1" s="5" t="s">
        <v>50</v>
      </c>
      <c r="B1" s="5" t="s">
        <v>1609</v>
      </c>
      <c r="C1" s="5" t="s">
        <v>68</v>
      </c>
      <c r="D1" s="5" t="s">
        <v>1610</v>
      </c>
      <c r="E1" s="5" t="s">
        <v>1611</v>
      </c>
      <c r="F1" s="5" t="s">
        <v>1612</v>
      </c>
      <c r="G1" s="5" t="s">
        <v>63</v>
      </c>
      <c r="H1" s="5" t="s">
        <v>1613</v>
      </c>
      <c r="I1" s="5" t="s">
        <v>1614</v>
      </c>
      <c r="J1" s="5" t="s">
        <v>59</v>
      </c>
      <c r="K1" s="5" t="s">
        <v>1615</v>
      </c>
    </row>
    <row r="2" customFormat="false" ht="15" hidden="false" customHeight="true" outlineLevel="0" collapsed="false">
      <c r="A2" s="6" t="s">
        <v>73</v>
      </c>
      <c r="B2" s="6" t="n">
        <v>1</v>
      </c>
      <c r="C2" s="6" t="s">
        <v>82</v>
      </c>
      <c r="D2" s="8" t="n">
        <v>7550</v>
      </c>
      <c r="E2" s="8" t="n">
        <v>5750</v>
      </c>
      <c r="F2" s="8" t="n">
        <v>0</v>
      </c>
      <c r="G2" s="8" t="n">
        <v>90</v>
      </c>
      <c r="H2" s="6" t="n">
        <v>820</v>
      </c>
      <c r="I2" s="6" t="n">
        <v>820</v>
      </c>
      <c r="J2" s="6" t="n">
        <v>760</v>
      </c>
      <c r="K2" s="6" t="s">
        <v>1616</v>
      </c>
    </row>
    <row r="3" customFormat="false" ht="15" hidden="false" customHeight="true" outlineLevel="0" collapsed="false">
      <c r="A3" s="6" t="s">
        <v>73</v>
      </c>
      <c r="B3" s="6" t="n">
        <v>2</v>
      </c>
      <c r="C3" s="6" t="s">
        <v>82</v>
      </c>
      <c r="D3" s="8" t="n">
        <v>7550</v>
      </c>
      <c r="E3" s="8" t="n">
        <v>6850</v>
      </c>
      <c r="F3" s="8" t="n">
        <v>0</v>
      </c>
      <c r="G3" s="8" t="n">
        <v>90</v>
      </c>
      <c r="H3" s="6" t="n">
        <v>820</v>
      </c>
      <c r="I3" s="6" t="n">
        <v>820</v>
      </c>
      <c r="J3" s="6" t="n">
        <v>760</v>
      </c>
      <c r="K3" s="6" t="s">
        <v>1617</v>
      </c>
    </row>
    <row r="4" customFormat="false" ht="15" hidden="false" customHeight="true" outlineLevel="0" collapsed="false">
      <c r="A4" s="6" t="s">
        <v>86</v>
      </c>
      <c r="B4" s="6" t="n">
        <v>1</v>
      </c>
      <c r="C4" s="6" t="s">
        <v>94</v>
      </c>
      <c r="D4" s="8" t="n">
        <v>6750</v>
      </c>
      <c r="E4" s="8" t="n">
        <v>6300</v>
      </c>
      <c r="F4" s="8" t="n">
        <v>0</v>
      </c>
      <c r="G4" s="8" t="n">
        <v>0</v>
      </c>
      <c r="H4" s="6" t="n">
        <v>700</v>
      </c>
      <c r="I4" s="6" t="n">
        <v>700</v>
      </c>
      <c r="J4" s="6" t="n">
        <v>400</v>
      </c>
      <c r="K4" s="6" t="s">
        <v>1618</v>
      </c>
    </row>
    <row r="5" customFormat="false" ht="15" hidden="false" customHeight="true" outlineLevel="0" collapsed="false">
      <c r="A5" s="6" t="s">
        <v>96</v>
      </c>
      <c r="B5" s="6" t="n">
        <v>1</v>
      </c>
      <c r="C5" s="6" t="s">
        <v>103</v>
      </c>
      <c r="D5" s="8" t="n">
        <v>8470</v>
      </c>
      <c r="E5" s="8" t="n">
        <v>8102</v>
      </c>
      <c r="F5" s="8" t="n">
        <v>0</v>
      </c>
      <c r="G5" s="8" t="n">
        <v>0</v>
      </c>
      <c r="H5" s="6" t="n">
        <v>1500</v>
      </c>
      <c r="I5" s="6" t="n">
        <v>350</v>
      </c>
      <c r="J5" s="6" t="n">
        <v>800</v>
      </c>
      <c r="K5" s="6" t="s">
        <v>1619</v>
      </c>
    </row>
    <row r="6" customFormat="false" ht="15" hidden="false" customHeight="true" outlineLevel="0" collapsed="false">
      <c r="A6" s="6" t="s">
        <v>105</v>
      </c>
      <c r="B6" s="6" t="n">
        <v>1</v>
      </c>
      <c r="C6" s="6" t="s">
        <v>112</v>
      </c>
      <c r="D6" s="8" t="n">
        <v>8540</v>
      </c>
      <c r="E6" s="8" t="n">
        <v>4734</v>
      </c>
      <c r="F6" s="8" t="n">
        <v>0</v>
      </c>
      <c r="G6" s="8" t="n">
        <v>0</v>
      </c>
      <c r="H6" s="6" t="n">
        <v>1400</v>
      </c>
      <c r="I6" s="6" t="n">
        <v>350</v>
      </c>
      <c r="J6" s="6" t="n">
        <v>900</v>
      </c>
      <c r="K6" s="6" t="s">
        <v>1620</v>
      </c>
    </row>
    <row r="7" customFormat="false" ht="15" hidden="false" customHeight="true" outlineLevel="0" collapsed="false">
      <c r="A7" s="6" t="s">
        <v>116</v>
      </c>
      <c r="B7" s="6" t="n">
        <v>1</v>
      </c>
      <c r="C7" s="6" t="s">
        <v>124</v>
      </c>
      <c r="D7" s="8" t="n">
        <v>5575</v>
      </c>
      <c r="E7" s="8" t="n">
        <v>6300</v>
      </c>
      <c r="F7" s="8" t="n">
        <v>0</v>
      </c>
      <c r="G7" s="8" t="n">
        <v>270</v>
      </c>
      <c r="H7" s="6" t="n">
        <v>1600</v>
      </c>
      <c r="I7" s="6" t="n">
        <v>850</v>
      </c>
      <c r="J7" s="6" t="n">
        <v>780</v>
      </c>
      <c r="K7" s="6" t="s">
        <v>1621</v>
      </c>
    </row>
    <row r="8" customFormat="false" ht="15" hidden="false" customHeight="true" outlineLevel="0" collapsed="false">
      <c r="A8" s="6" t="s">
        <v>127</v>
      </c>
      <c r="B8" s="6" t="n">
        <v>1</v>
      </c>
      <c r="C8" s="6" t="s">
        <v>134</v>
      </c>
      <c r="D8" s="8" t="n">
        <v>5575</v>
      </c>
      <c r="E8" s="8" t="n">
        <v>5230</v>
      </c>
      <c r="F8" s="8" t="n">
        <v>0</v>
      </c>
      <c r="G8" s="8" t="n">
        <v>0</v>
      </c>
      <c r="H8" s="6" t="n">
        <v>450</v>
      </c>
      <c r="I8" s="6" t="n">
        <v>450</v>
      </c>
      <c r="J8" s="6" t="n">
        <v>500</v>
      </c>
      <c r="K8" s="6" t="s">
        <v>1622</v>
      </c>
    </row>
    <row r="9" customFormat="false" ht="15" hidden="false" customHeight="true" outlineLevel="0" collapsed="false">
      <c r="A9" s="6" t="s">
        <v>127</v>
      </c>
      <c r="B9" s="6" t="n">
        <v>2</v>
      </c>
      <c r="C9" s="6" t="s">
        <v>134</v>
      </c>
      <c r="D9" s="8" t="n">
        <v>5575</v>
      </c>
      <c r="E9" s="8" t="n">
        <v>7370</v>
      </c>
      <c r="F9" s="8" t="n">
        <v>0</v>
      </c>
      <c r="G9" s="8" t="n">
        <v>0</v>
      </c>
      <c r="H9" s="6" t="n">
        <v>450</v>
      </c>
      <c r="I9" s="6" t="n">
        <v>450</v>
      </c>
      <c r="J9" s="6" t="n">
        <v>500</v>
      </c>
      <c r="K9" s="6" t="s">
        <v>1623</v>
      </c>
    </row>
    <row r="10" customFormat="false" ht="15" hidden="false" customHeight="true" outlineLevel="0" collapsed="false">
      <c r="A10" s="6" t="s">
        <v>136</v>
      </c>
      <c r="B10" s="6" t="n">
        <v>1</v>
      </c>
      <c r="C10" s="6" t="s">
        <v>142</v>
      </c>
      <c r="D10" s="8" t="n">
        <v>8150</v>
      </c>
      <c r="E10" s="8" t="n">
        <v>7680</v>
      </c>
      <c r="F10" s="8" t="n">
        <v>0</v>
      </c>
      <c r="G10" s="8" t="n">
        <v>0</v>
      </c>
      <c r="H10" s="6" t="n">
        <v>450</v>
      </c>
      <c r="I10" s="6" t="n">
        <v>450</v>
      </c>
      <c r="J10" s="6" t="n">
        <v>420</v>
      </c>
      <c r="K10" s="6" t="s">
        <v>1624</v>
      </c>
    </row>
    <row r="11" customFormat="false" ht="15" hidden="false" customHeight="true" outlineLevel="0" collapsed="false">
      <c r="A11" s="6" t="s">
        <v>136</v>
      </c>
      <c r="B11" s="6" t="n">
        <v>2</v>
      </c>
      <c r="C11" s="6" t="s">
        <v>142</v>
      </c>
      <c r="D11" s="8" t="n">
        <v>8790</v>
      </c>
      <c r="E11" s="8" t="n">
        <v>7680</v>
      </c>
      <c r="F11" s="8" t="n">
        <v>0</v>
      </c>
      <c r="G11" s="8" t="n">
        <v>0</v>
      </c>
      <c r="H11" s="6" t="n">
        <v>450</v>
      </c>
      <c r="I11" s="6" t="n">
        <v>450</v>
      </c>
      <c r="J11" s="6" t="n">
        <v>420</v>
      </c>
      <c r="K11" s="6" t="s">
        <v>1625</v>
      </c>
    </row>
    <row r="12" customFormat="false" ht="15" hidden="false" customHeight="true" outlineLevel="0" collapsed="false">
      <c r="A12" s="6" t="s">
        <v>145</v>
      </c>
      <c r="B12" s="6" t="n">
        <v>1</v>
      </c>
      <c r="C12" s="6" t="s">
        <v>152</v>
      </c>
      <c r="D12" s="8" t="n">
        <v>8900</v>
      </c>
      <c r="E12" s="8" t="n">
        <v>5600</v>
      </c>
      <c r="F12" s="8" t="n">
        <v>0</v>
      </c>
      <c r="G12" s="8" t="n">
        <v>0</v>
      </c>
      <c r="H12" s="6" t="n">
        <v>600</v>
      </c>
      <c r="I12" s="6" t="n">
        <v>600</v>
      </c>
      <c r="J12" s="6" t="n">
        <v>1800</v>
      </c>
      <c r="K12" s="6" t="s">
        <v>1626</v>
      </c>
    </row>
    <row r="13" customFormat="false" ht="15" hidden="false" customHeight="true" outlineLevel="0" collapsed="false">
      <c r="A13" s="6" t="s">
        <v>154</v>
      </c>
      <c r="B13" s="6" t="n">
        <v>1</v>
      </c>
      <c r="C13" s="6" t="s">
        <v>162</v>
      </c>
      <c r="D13" s="8" t="n">
        <v>8470</v>
      </c>
      <c r="E13" s="8" t="n">
        <v>8258</v>
      </c>
      <c r="F13" s="8" t="n">
        <v>1100</v>
      </c>
      <c r="G13" s="8" t="n">
        <v>180</v>
      </c>
      <c r="H13" s="6" t="n">
        <v>1140</v>
      </c>
      <c r="I13" s="6" t="n">
        <v>37</v>
      </c>
      <c r="J13" s="6" t="n">
        <v>800</v>
      </c>
      <c r="K13" s="6" t="s">
        <v>1627</v>
      </c>
    </row>
    <row r="14" customFormat="false" ht="15" hidden="false" customHeight="true" outlineLevel="0" collapsed="false">
      <c r="A14" s="6" t="s">
        <v>165</v>
      </c>
      <c r="B14" s="6" t="n">
        <v>1</v>
      </c>
      <c r="C14" s="6" t="s">
        <v>174</v>
      </c>
      <c r="D14" s="8" t="n">
        <v>8000</v>
      </c>
      <c r="E14" s="8" t="n">
        <v>8100</v>
      </c>
      <c r="F14" s="8" t="s">
        <v>170</v>
      </c>
      <c r="G14" s="8" t="n">
        <v>0</v>
      </c>
      <c r="H14" s="6" t="n">
        <v>250</v>
      </c>
      <c r="I14" s="6" t="n">
        <v>250</v>
      </c>
      <c r="J14" s="6" t="n">
        <v>150</v>
      </c>
      <c r="K14" s="6" t="s">
        <v>1628</v>
      </c>
    </row>
    <row r="15" customFormat="false" ht="15" hidden="false" customHeight="true" outlineLevel="0" collapsed="false">
      <c r="A15" s="6" t="s">
        <v>176</v>
      </c>
      <c r="B15" s="6" t="n">
        <v>1</v>
      </c>
      <c r="C15" s="6" t="s">
        <v>174</v>
      </c>
      <c r="D15" s="8" t="n">
        <v>6600</v>
      </c>
      <c r="E15" s="8" t="n">
        <v>6150</v>
      </c>
      <c r="F15" s="8" t="s">
        <v>170</v>
      </c>
      <c r="G15" s="8" t="n">
        <v>0</v>
      </c>
      <c r="H15" s="6" t="n">
        <v>250</v>
      </c>
      <c r="I15" s="6" t="n">
        <v>250</v>
      </c>
      <c r="J15" s="6" t="n">
        <v>150</v>
      </c>
      <c r="K15" s="6" t="s">
        <v>1629</v>
      </c>
    </row>
    <row r="16" customFormat="false" ht="15" hidden="false" customHeight="true" outlineLevel="0" collapsed="false">
      <c r="A16" s="6" t="s">
        <v>181</v>
      </c>
      <c r="B16" s="6" t="n">
        <v>1</v>
      </c>
      <c r="C16" s="6" t="s">
        <v>186</v>
      </c>
      <c r="D16" s="8" t="n">
        <v>8540</v>
      </c>
      <c r="E16" s="8" t="n">
        <v>4580</v>
      </c>
      <c r="F16" s="8" t="n">
        <v>1050</v>
      </c>
      <c r="G16" s="8" t="n">
        <v>0</v>
      </c>
      <c r="H16" s="6" t="n">
        <v>1280</v>
      </c>
      <c r="I16" s="6" t="n">
        <v>41</v>
      </c>
      <c r="J16" s="6" t="n">
        <v>900</v>
      </c>
      <c r="K16" s="6" t="s">
        <v>1630</v>
      </c>
    </row>
    <row r="17" customFormat="false" ht="15" hidden="false" customHeight="true" outlineLevel="0" collapsed="false">
      <c r="A17" s="6" t="s">
        <v>188</v>
      </c>
      <c r="B17" s="6" t="n">
        <v>1</v>
      </c>
      <c r="C17" s="6" t="s">
        <v>174</v>
      </c>
      <c r="D17" s="8" t="n">
        <v>8540</v>
      </c>
      <c r="E17" s="8" t="n">
        <v>4734</v>
      </c>
      <c r="F17" s="8" t="s">
        <v>170</v>
      </c>
      <c r="G17" s="8" t="n">
        <v>0</v>
      </c>
      <c r="H17" s="6" t="n">
        <v>250</v>
      </c>
      <c r="I17" s="6" t="n">
        <v>250</v>
      </c>
      <c r="J17" s="6" t="n">
        <v>150</v>
      </c>
      <c r="K17" s="6" t="s">
        <v>1631</v>
      </c>
    </row>
    <row r="18" customFormat="false" ht="15" hidden="false" customHeight="true" outlineLevel="0" collapsed="false">
      <c r="A18" s="6" t="s">
        <v>193</v>
      </c>
      <c r="B18" s="6" t="n">
        <v>1</v>
      </c>
      <c r="C18" s="6" t="s">
        <v>174</v>
      </c>
      <c r="D18" s="8" t="n">
        <v>6900</v>
      </c>
      <c r="E18" s="8" t="n">
        <v>6420</v>
      </c>
      <c r="F18" s="8" t="s">
        <v>170</v>
      </c>
      <c r="G18" s="8" t="n">
        <v>0</v>
      </c>
      <c r="H18" s="6" t="n">
        <v>250</v>
      </c>
      <c r="I18" s="6" t="n">
        <v>250</v>
      </c>
      <c r="J18" s="6" t="n">
        <v>150</v>
      </c>
      <c r="K18" s="6" t="s">
        <v>1632</v>
      </c>
    </row>
    <row r="19" customFormat="false" ht="15" hidden="false" customHeight="true" outlineLevel="0" collapsed="false">
      <c r="A19" s="6" t="s">
        <v>199</v>
      </c>
      <c r="B19" s="6" t="n">
        <v>1</v>
      </c>
      <c r="C19" s="6" t="s">
        <v>174</v>
      </c>
      <c r="D19" s="8" t="n">
        <v>9050</v>
      </c>
      <c r="E19" s="8" t="n">
        <v>8100</v>
      </c>
      <c r="F19" s="8" t="s">
        <v>170</v>
      </c>
      <c r="G19" s="8" t="n">
        <v>0</v>
      </c>
      <c r="H19" s="6" t="n">
        <v>250</v>
      </c>
      <c r="I19" s="6" t="n">
        <v>250</v>
      </c>
      <c r="J19" s="6" t="n">
        <v>150</v>
      </c>
      <c r="K19" s="6" t="s">
        <v>1633</v>
      </c>
    </row>
    <row r="20" customFormat="false" ht="15" hidden="false" customHeight="true" outlineLevel="0" collapsed="false">
      <c r="A20" s="6" t="s">
        <v>204</v>
      </c>
      <c r="B20" s="6" t="n">
        <v>1</v>
      </c>
      <c r="C20" s="6" t="s">
        <v>211</v>
      </c>
      <c r="D20" s="8" t="n">
        <v>6762</v>
      </c>
      <c r="E20" s="8" t="n">
        <v>6418</v>
      </c>
      <c r="F20" s="8" t="n">
        <v>0</v>
      </c>
      <c r="G20" s="8" t="n">
        <v>0</v>
      </c>
      <c r="H20" s="6" t="n">
        <v>5049</v>
      </c>
      <c r="I20" s="6" t="n">
        <v>3718</v>
      </c>
      <c r="J20" s="6" t="n">
        <v>2550</v>
      </c>
      <c r="K20" s="6" t="s">
        <v>1634</v>
      </c>
    </row>
    <row r="21" customFormat="false" ht="15" hidden="false" customHeight="true" outlineLevel="0" collapsed="false">
      <c r="A21" s="6" t="s">
        <v>214</v>
      </c>
      <c r="B21" s="6" t="n">
        <v>1</v>
      </c>
      <c r="C21" s="6" t="s">
        <v>222</v>
      </c>
      <c r="D21" s="8" t="n">
        <v>6762</v>
      </c>
      <c r="E21" s="8" t="n">
        <v>6418</v>
      </c>
      <c r="F21" s="8" t="n">
        <v>0</v>
      </c>
      <c r="G21" s="8" t="n">
        <v>0</v>
      </c>
      <c r="H21" s="6" t="n">
        <v>5049</v>
      </c>
      <c r="I21" s="6" t="n">
        <v>3718</v>
      </c>
      <c r="J21" s="6" t="n">
        <v>15</v>
      </c>
      <c r="K21" s="6" t="s">
        <v>1635</v>
      </c>
    </row>
    <row r="22" customFormat="false" ht="15" hidden="false" customHeight="true" outlineLevel="0" collapsed="false">
      <c r="A22" s="6" t="s">
        <v>224</v>
      </c>
      <c r="B22" s="6" t="n">
        <v>1</v>
      </c>
      <c r="C22" s="6" t="s">
        <v>231</v>
      </c>
      <c r="D22" s="8" t="n">
        <v>9282</v>
      </c>
      <c r="E22" s="8" t="n">
        <v>6418</v>
      </c>
      <c r="F22" s="8" t="n">
        <v>0</v>
      </c>
      <c r="G22" s="8" t="n">
        <v>90</v>
      </c>
      <c r="H22" s="6" t="n">
        <v>3718</v>
      </c>
      <c r="I22" s="6" t="n">
        <v>35</v>
      </c>
      <c r="J22" s="6" t="n">
        <v>1100</v>
      </c>
      <c r="K22" s="6" t="s">
        <v>1636</v>
      </c>
    </row>
    <row r="23" customFormat="false" ht="15" hidden="false" customHeight="true" outlineLevel="0" collapsed="false">
      <c r="A23" s="6" t="s">
        <v>233</v>
      </c>
      <c r="B23" s="6" t="n">
        <v>1</v>
      </c>
      <c r="C23" s="6" t="s">
        <v>239</v>
      </c>
      <c r="D23" s="8" t="n">
        <v>8468</v>
      </c>
      <c r="E23" s="8" t="n">
        <v>8264</v>
      </c>
      <c r="F23" s="8" t="n">
        <v>0</v>
      </c>
      <c r="G23" s="8" t="n">
        <v>180</v>
      </c>
      <c r="H23" s="6" t="n">
        <v>1637</v>
      </c>
      <c r="I23" s="6" t="n">
        <v>27</v>
      </c>
      <c r="J23" s="6" t="n">
        <v>2700</v>
      </c>
      <c r="K23" s="6" t="s">
        <v>1637</v>
      </c>
    </row>
    <row r="24" customFormat="false" ht="15" hidden="false" customHeight="true" outlineLevel="0" collapsed="false">
      <c r="A24" s="6" t="s">
        <v>241</v>
      </c>
      <c r="B24" s="6" t="n">
        <v>1</v>
      </c>
      <c r="C24" s="6" t="s">
        <v>248</v>
      </c>
      <c r="D24" s="8" t="n">
        <v>6700</v>
      </c>
      <c r="E24" s="8" t="n">
        <v>6325</v>
      </c>
      <c r="F24" s="8" t="n">
        <v>2950</v>
      </c>
      <c r="G24" s="8" t="n">
        <v>0</v>
      </c>
      <c r="H24" s="6" t="n">
        <v>3200</v>
      </c>
      <c r="I24" s="6" t="n">
        <v>2350</v>
      </c>
      <c r="J24" s="6" t="n">
        <v>200</v>
      </c>
      <c r="K24" s="6" t="s">
        <v>1638</v>
      </c>
    </row>
    <row r="25" customFormat="false" ht="15" hidden="false" customHeight="true" outlineLevel="0" collapsed="false">
      <c r="A25" s="6" t="s">
        <v>250</v>
      </c>
      <c r="B25" s="6" t="n">
        <v>1</v>
      </c>
      <c r="C25" s="6" t="s">
        <v>256</v>
      </c>
      <c r="D25" s="8" t="n">
        <v>9246</v>
      </c>
      <c r="E25" s="8" t="n">
        <v>6418</v>
      </c>
      <c r="F25" s="8" t="n">
        <v>0</v>
      </c>
      <c r="G25" s="8" t="n">
        <v>90</v>
      </c>
      <c r="H25" s="6" t="n">
        <v>3718</v>
      </c>
      <c r="I25" s="6" t="n">
        <v>32</v>
      </c>
      <c r="J25" s="6" t="n">
        <v>5</v>
      </c>
      <c r="K25" s="6" t="s">
        <v>1639</v>
      </c>
    </row>
    <row r="26" customFormat="false" ht="15" hidden="false" customHeight="true" outlineLevel="0" collapsed="false">
      <c r="A26" s="6" t="s">
        <v>258</v>
      </c>
      <c r="B26" s="6" t="n">
        <v>1</v>
      </c>
      <c r="C26" s="6" t="s">
        <v>264</v>
      </c>
      <c r="D26" s="8" t="n">
        <v>6750</v>
      </c>
      <c r="E26" s="8" t="n">
        <v>6300</v>
      </c>
      <c r="F26" s="8" t="n">
        <v>2750</v>
      </c>
      <c r="G26" s="8" t="n">
        <v>0</v>
      </c>
      <c r="H26" s="6" t="n">
        <v>900</v>
      </c>
      <c r="I26" s="6" t="n">
        <v>900</v>
      </c>
      <c r="J26" s="6" t="n">
        <v>600</v>
      </c>
      <c r="K26" s="6" t="s">
        <v>1640</v>
      </c>
    </row>
    <row r="27" customFormat="false" ht="15" hidden="false" customHeight="true" outlineLevel="0" collapsed="false">
      <c r="A27" s="6" t="s">
        <v>267</v>
      </c>
      <c r="B27" s="6" t="n">
        <v>1</v>
      </c>
      <c r="C27" s="6" t="s">
        <v>273</v>
      </c>
      <c r="D27" s="8" t="n">
        <v>5450</v>
      </c>
      <c r="E27" s="8" t="n">
        <v>7700</v>
      </c>
      <c r="F27" s="8" t="n">
        <v>0</v>
      </c>
      <c r="G27" s="8" t="n">
        <v>0</v>
      </c>
      <c r="H27" s="6" t="n">
        <v>350</v>
      </c>
      <c r="I27" s="6" t="n">
        <v>350</v>
      </c>
      <c r="J27" s="6" t="n">
        <v>1500</v>
      </c>
      <c r="K27" s="6" t="s">
        <v>1641</v>
      </c>
    </row>
    <row r="28" customFormat="false" ht="15" hidden="false" customHeight="true" outlineLevel="0" collapsed="false">
      <c r="A28" s="6" t="s">
        <v>275</v>
      </c>
      <c r="B28" s="6" t="n">
        <v>1</v>
      </c>
      <c r="C28" s="6" t="s">
        <v>281</v>
      </c>
      <c r="D28" s="8" t="n">
        <v>7690</v>
      </c>
      <c r="E28" s="8" t="n">
        <v>8170</v>
      </c>
      <c r="F28" s="8" t="n">
        <v>1500</v>
      </c>
      <c r="G28" s="8" t="n">
        <v>0</v>
      </c>
      <c r="H28" s="6" t="n">
        <v>200</v>
      </c>
      <c r="I28" s="6" t="n">
        <v>200</v>
      </c>
      <c r="J28" s="6" t="n">
        <v>200</v>
      </c>
      <c r="K28" s="6" t="s">
        <v>1642</v>
      </c>
    </row>
    <row r="29" customFormat="false" ht="15" hidden="false" customHeight="true" outlineLevel="0" collapsed="false">
      <c r="A29" s="6" t="s">
        <v>275</v>
      </c>
      <c r="B29" s="6" t="n">
        <v>2</v>
      </c>
      <c r="C29" s="6" t="s">
        <v>281</v>
      </c>
      <c r="D29" s="8" t="n">
        <v>9250</v>
      </c>
      <c r="E29" s="8" t="n">
        <v>8170</v>
      </c>
      <c r="F29" s="8" t="n">
        <v>1500</v>
      </c>
      <c r="G29" s="8" t="n">
        <v>0</v>
      </c>
      <c r="H29" s="6" t="n">
        <v>200</v>
      </c>
      <c r="I29" s="6" t="n">
        <v>200</v>
      </c>
      <c r="J29" s="6" t="n">
        <v>200</v>
      </c>
      <c r="K29" s="6" t="s">
        <v>1643</v>
      </c>
    </row>
    <row r="30" customFormat="false" ht="15" hidden="false" customHeight="true" outlineLevel="0" collapsed="false">
      <c r="A30" s="6" t="s">
        <v>283</v>
      </c>
      <c r="B30" s="6" t="n">
        <v>1</v>
      </c>
      <c r="C30" s="6" t="s">
        <v>289</v>
      </c>
      <c r="D30" s="8" t="n">
        <v>8550</v>
      </c>
      <c r="E30" s="8" t="n">
        <v>4620</v>
      </c>
      <c r="F30" s="8" t="n">
        <v>2750</v>
      </c>
      <c r="G30" s="8" t="n">
        <v>0</v>
      </c>
      <c r="H30" s="6" t="n">
        <v>700</v>
      </c>
      <c r="I30" s="6" t="n">
        <v>40</v>
      </c>
      <c r="J30" s="6" t="n">
        <v>80</v>
      </c>
      <c r="K30" s="6" t="s">
        <v>1644</v>
      </c>
    </row>
    <row r="31" customFormat="false" ht="15" hidden="false" customHeight="true" outlineLevel="0" collapsed="false">
      <c r="A31" s="6" t="s">
        <v>291</v>
      </c>
      <c r="B31" s="6" t="n">
        <v>1</v>
      </c>
      <c r="C31" s="6" t="s">
        <v>298</v>
      </c>
      <c r="D31" s="8" t="n">
        <v>6750</v>
      </c>
      <c r="E31" s="8" t="n">
        <v>6300</v>
      </c>
      <c r="F31" s="8" t="n">
        <v>0</v>
      </c>
      <c r="G31" s="8" t="n">
        <v>0</v>
      </c>
      <c r="H31" s="6" t="n">
        <v>2400</v>
      </c>
      <c r="I31" s="6" t="n">
        <v>1700</v>
      </c>
      <c r="J31" s="6" t="n">
        <v>12</v>
      </c>
      <c r="K31" s="6" t="s">
        <v>1645</v>
      </c>
    </row>
    <row r="32" customFormat="false" ht="15" hidden="false" customHeight="true" outlineLevel="0" collapsed="false">
      <c r="A32" s="6" t="s">
        <v>300</v>
      </c>
      <c r="B32" s="6" t="n">
        <v>1</v>
      </c>
      <c r="C32" s="6" t="s">
        <v>307</v>
      </c>
      <c r="D32" s="8" t="n">
        <v>5400</v>
      </c>
      <c r="E32" s="8" t="n">
        <v>6200</v>
      </c>
      <c r="F32" s="8" t="s">
        <v>170</v>
      </c>
      <c r="G32" s="8" t="n">
        <v>0</v>
      </c>
      <c r="H32" s="6" t="n">
        <v>250</v>
      </c>
      <c r="I32" s="6" t="n">
        <v>250</v>
      </c>
      <c r="J32" s="6" t="n">
        <v>150</v>
      </c>
      <c r="K32" s="6" t="s">
        <v>1646</v>
      </c>
    </row>
    <row r="33" customFormat="false" ht="15" hidden="false" customHeight="true" outlineLevel="0" collapsed="false">
      <c r="A33" s="6" t="s">
        <v>309</v>
      </c>
      <c r="B33" s="6" t="n">
        <v>1</v>
      </c>
      <c r="C33" s="6" t="s">
        <v>307</v>
      </c>
      <c r="D33" s="8" t="n">
        <v>5400</v>
      </c>
      <c r="E33" s="8" t="n">
        <v>6900</v>
      </c>
      <c r="F33" s="8" t="s">
        <v>170</v>
      </c>
      <c r="G33" s="8" t="n">
        <v>0</v>
      </c>
      <c r="H33" s="6" t="n">
        <v>250</v>
      </c>
      <c r="I33" s="6" t="n">
        <v>250</v>
      </c>
      <c r="J33" s="6" t="n">
        <v>150</v>
      </c>
      <c r="K33" s="6" t="s">
        <v>1647</v>
      </c>
    </row>
    <row r="34" customFormat="false" ht="15" hidden="false" customHeight="true" outlineLevel="0" collapsed="false">
      <c r="A34" s="6" t="s">
        <v>314</v>
      </c>
      <c r="B34" s="6" t="n">
        <v>1</v>
      </c>
      <c r="C34" s="6" t="s">
        <v>320</v>
      </c>
      <c r="D34" s="8" t="n">
        <v>9162</v>
      </c>
      <c r="E34" s="8" t="n">
        <v>7050</v>
      </c>
      <c r="F34" s="8" t="n">
        <v>0</v>
      </c>
      <c r="G34" s="8" t="n">
        <v>90</v>
      </c>
      <c r="H34" s="6" t="n">
        <v>1500</v>
      </c>
      <c r="I34" s="6" t="n">
        <v>250</v>
      </c>
      <c r="J34" s="6" t="n">
        <v>400</v>
      </c>
      <c r="K34" s="6" t="s">
        <v>1648</v>
      </c>
    </row>
    <row r="35" customFormat="false" ht="15" hidden="false" customHeight="true" outlineLevel="0" collapsed="false">
      <c r="A35" s="6" t="s">
        <v>323</v>
      </c>
      <c r="B35" s="6" t="n">
        <v>1</v>
      </c>
      <c r="C35" s="6" t="s">
        <v>327</v>
      </c>
      <c r="D35" s="8" t="n">
        <v>11350</v>
      </c>
      <c r="E35" s="8" t="n">
        <v>6400</v>
      </c>
      <c r="F35" s="8" t="s">
        <v>170</v>
      </c>
      <c r="G35" s="8" t="n">
        <v>0</v>
      </c>
      <c r="H35" s="6" t="n">
        <v>1200</v>
      </c>
      <c r="I35" s="6" t="n">
        <v>1200</v>
      </c>
      <c r="J35" s="6" t="n">
        <v>150</v>
      </c>
      <c r="K35" s="6" t="s">
        <v>1649</v>
      </c>
    </row>
    <row r="36" customFormat="false" ht="15" hidden="false" customHeight="true" outlineLevel="0" collapsed="false">
      <c r="A36" s="6" t="s">
        <v>329</v>
      </c>
      <c r="B36" s="6" t="n">
        <v>1</v>
      </c>
      <c r="C36" s="6" t="s">
        <v>336</v>
      </c>
      <c r="D36" s="8" t="n">
        <v>9162</v>
      </c>
      <c r="E36" s="8" t="n">
        <v>7050</v>
      </c>
      <c r="F36" s="8" t="n">
        <v>0</v>
      </c>
      <c r="G36" s="8" t="n">
        <v>0</v>
      </c>
      <c r="H36" s="6" t="n">
        <v>300</v>
      </c>
      <c r="I36" s="6" t="n">
        <v>300</v>
      </c>
      <c r="J36" s="6" t="n">
        <v>600</v>
      </c>
      <c r="K36" s="6" t="s">
        <v>1650</v>
      </c>
    </row>
    <row r="37" customFormat="false" ht="15" hidden="false" customHeight="true" outlineLevel="0" collapsed="false">
      <c r="A37" s="6" t="s">
        <v>338</v>
      </c>
      <c r="B37" s="6" t="n">
        <v>1</v>
      </c>
      <c r="C37" s="6" t="s">
        <v>231</v>
      </c>
      <c r="D37" s="8" t="n">
        <v>9290</v>
      </c>
      <c r="E37" s="8" t="n">
        <v>6418</v>
      </c>
      <c r="F37" s="8" t="n">
        <v>0</v>
      </c>
      <c r="G37" s="8" t="n">
        <v>270</v>
      </c>
      <c r="H37" s="6" t="n">
        <v>3718</v>
      </c>
      <c r="I37" s="6" t="n">
        <v>40</v>
      </c>
      <c r="J37" s="6" t="n">
        <v>1100</v>
      </c>
      <c r="K37" s="6" t="s">
        <v>1651</v>
      </c>
    </row>
    <row r="38" customFormat="false" ht="15" hidden="false" customHeight="true" outlineLevel="0" collapsed="false">
      <c r="A38" s="6" t="s">
        <v>342</v>
      </c>
      <c r="B38" s="6" t="n">
        <v>1</v>
      </c>
      <c r="C38" s="6" t="s">
        <v>346</v>
      </c>
      <c r="D38" s="8" t="n">
        <v>9244</v>
      </c>
      <c r="E38" s="8" t="n">
        <v>5100</v>
      </c>
      <c r="F38" s="8" t="n">
        <v>0</v>
      </c>
      <c r="G38" s="8" t="n">
        <v>270</v>
      </c>
      <c r="H38" s="6" t="n">
        <v>400</v>
      </c>
      <c r="I38" s="6" t="n">
        <v>37</v>
      </c>
      <c r="J38" s="6" t="n">
        <v>5</v>
      </c>
      <c r="K38" s="6" t="s">
        <v>1652</v>
      </c>
    </row>
    <row r="39" customFormat="false" ht="15" hidden="false" customHeight="true" outlineLevel="0" collapsed="false">
      <c r="A39" s="6" t="s">
        <v>348</v>
      </c>
      <c r="B39" s="6" t="n">
        <v>1</v>
      </c>
      <c r="C39" s="6" t="s">
        <v>355</v>
      </c>
      <c r="D39" s="8" t="n">
        <v>12982</v>
      </c>
      <c r="E39" s="8" t="n">
        <v>6420</v>
      </c>
      <c r="F39" s="8" t="n">
        <v>0</v>
      </c>
      <c r="G39" s="8" t="n">
        <v>90</v>
      </c>
      <c r="H39" s="6" t="n">
        <v>3640</v>
      </c>
      <c r="I39" s="6" t="n">
        <v>45</v>
      </c>
      <c r="J39" s="6" t="n">
        <v>6100</v>
      </c>
      <c r="K39" s="6" t="s">
        <v>1653</v>
      </c>
    </row>
    <row r="40" customFormat="false" ht="15" hidden="false" customHeight="true" outlineLevel="0" collapsed="false">
      <c r="A40" s="6" t="s">
        <v>357</v>
      </c>
      <c r="B40" s="6" t="n">
        <v>1</v>
      </c>
      <c r="C40" s="6" t="s">
        <v>363</v>
      </c>
      <c r="D40" s="8" t="n">
        <v>9290</v>
      </c>
      <c r="E40" s="8" t="n">
        <v>6420</v>
      </c>
      <c r="F40" s="8" t="s">
        <v>170</v>
      </c>
      <c r="G40" s="8" t="n">
        <v>0</v>
      </c>
      <c r="H40" s="6" t="n">
        <v>3640</v>
      </c>
      <c r="I40" s="6" t="n">
        <v>40</v>
      </c>
      <c r="J40" s="6" t="n">
        <v>10</v>
      </c>
      <c r="K40" s="6" t="s">
        <v>1654</v>
      </c>
    </row>
    <row r="41" customFormat="false" ht="15" hidden="false" customHeight="true" outlineLevel="0" collapsed="false">
      <c r="A41" s="6" t="s">
        <v>365</v>
      </c>
      <c r="B41" s="6" t="n">
        <v>1</v>
      </c>
      <c r="C41" s="6" t="s">
        <v>369</v>
      </c>
      <c r="D41" s="8" t="n">
        <v>12800</v>
      </c>
      <c r="E41" s="8" t="n">
        <v>6400</v>
      </c>
      <c r="F41" s="8" t="n">
        <v>2750</v>
      </c>
      <c r="G41" s="8" t="n">
        <v>0</v>
      </c>
      <c r="H41" s="6" t="n">
        <v>250</v>
      </c>
      <c r="I41" s="6" t="n">
        <v>250</v>
      </c>
      <c r="J41" s="6" t="n">
        <v>80</v>
      </c>
      <c r="K41" s="6" t="s">
        <v>1655</v>
      </c>
    </row>
    <row r="42" customFormat="false" ht="15" hidden="false" customHeight="true" outlineLevel="0" collapsed="false">
      <c r="A42" s="6" t="s">
        <v>371</v>
      </c>
      <c r="B42" s="6" t="n">
        <v>1</v>
      </c>
      <c r="C42" s="6" t="s">
        <v>377</v>
      </c>
      <c r="D42" s="8" t="n">
        <v>2950</v>
      </c>
      <c r="E42" s="8" t="n">
        <v>5784</v>
      </c>
      <c r="F42" s="8" t="n">
        <v>0</v>
      </c>
      <c r="G42" s="8" t="n">
        <v>90</v>
      </c>
      <c r="H42" s="6" t="n">
        <v>1980</v>
      </c>
      <c r="I42" s="6" t="n">
        <v>1829</v>
      </c>
      <c r="J42" s="6" t="n">
        <v>450</v>
      </c>
      <c r="K42" s="6" t="s">
        <v>1656</v>
      </c>
    </row>
    <row r="43" customFormat="false" ht="15" hidden="false" customHeight="true" outlineLevel="0" collapsed="false">
      <c r="A43" s="6" t="s">
        <v>379</v>
      </c>
      <c r="B43" s="6" t="n">
        <v>1</v>
      </c>
      <c r="C43" s="6" t="s">
        <v>385</v>
      </c>
      <c r="D43" s="8" t="n">
        <v>3715</v>
      </c>
      <c r="E43" s="8" t="n">
        <v>4594</v>
      </c>
      <c r="F43" s="8" t="n">
        <v>0</v>
      </c>
      <c r="G43" s="8" t="n">
        <v>0</v>
      </c>
      <c r="H43" s="6" t="n">
        <v>450</v>
      </c>
      <c r="I43" s="6" t="n">
        <v>450</v>
      </c>
      <c r="J43" s="6" t="n">
        <v>550</v>
      </c>
      <c r="K43" s="6" t="s">
        <v>1657</v>
      </c>
    </row>
    <row r="44" customFormat="false" ht="15" hidden="false" customHeight="true" outlineLevel="0" collapsed="false">
      <c r="A44" s="6" t="s">
        <v>379</v>
      </c>
      <c r="B44" s="6" t="n">
        <v>2</v>
      </c>
      <c r="C44" s="6" t="s">
        <v>385</v>
      </c>
      <c r="D44" s="8" t="n">
        <v>3715</v>
      </c>
      <c r="E44" s="8" t="n">
        <v>6973</v>
      </c>
      <c r="F44" s="8" t="n">
        <v>0</v>
      </c>
      <c r="G44" s="8" t="n">
        <v>0</v>
      </c>
      <c r="H44" s="6" t="n">
        <v>450</v>
      </c>
      <c r="I44" s="6" t="n">
        <v>450</v>
      </c>
      <c r="J44" s="6" t="n">
        <v>550</v>
      </c>
      <c r="K44" s="6" t="s">
        <v>1658</v>
      </c>
    </row>
    <row r="45" customFormat="false" ht="15" hidden="false" customHeight="true" outlineLevel="0" collapsed="false">
      <c r="A45" s="6" t="s">
        <v>387</v>
      </c>
      <c r="B45" s="6" t="n">
        <v>1</v>
      </c>
      <c r="C45" s="6" t="s">
        <v>394</v>
      </c>
      <c r="D45" s="8" t="n">
        <v>1100</v>
      </c>
      <c r="E45" s="8" t="n">
        <v>7650</v>
      </c>
      <c r="F45" s="8" t="n">
        <v>0</v>
      </c>
      <c r="G45" s="8" t="n">
        <v>180</v>
      </c>
      <c r="H45" s="6" t="n">
        <v>760</v>
      </c>
      <c r="I45" s="6" t="n">
        <v>760</v>
      </c>
      <c r="J45" s="6" t="n">
        <v>800</v>
      </c>
      <c r="K45" s="6" t="s">
        <v>1659</v>
      </c>
    </row>
    <row r="46" customFormat="false" ht="15" hidden="false" customHeight="true" outlineLevel="0" collapsed="false">
      <c r="A46" s="6" t="s">
        <v>387</v>
      </c>
      <c r="B46" s="6" t="n">
        <v>2</v>
      </c>
      <c r="C46" s="6" t="s">
        <v>394</v>
      </c>
      <c r="D46" s="8" t="n">
        <v>2150</v>
      </c>
      <c r="E46" s="8" t="n">
        <v>7650</v>
      </c>
      <c r="F46" s="8" t="n">
        <v>0</v>
      </c>
      <c r="G46" s="8" t="n">
        <v>180</v>
      </c>
      <c r="H46" s="6" t="n">
        <v>760</v>
      </c>
      <c r="I46" s="6" t="n">
        <v>760</v>
      </c>
      <c r="J46" s="6" t="n">
        <v>800</v>
      </c>
      <c r="K46" s="6" t="s">
        <v>1660</v>
      </c>
    </row>
    <row r="47" customFormat="false" ht="15" hidden="false" customHeight="true" outlineLevel="0" collapsed="false">
      <c r="A47" s="6" t="s">
        <v>387</v>
      </c>
      <c r="B47" s="6" t="n">
        <v>3</v>
      </c>
      <c r="C47" s="6" t="s">
        <v>394</v>
      </c>
      <c r="D47" s="8" t="n">
        <v>1625</v>
      </c>
      <c r="E47" s="8" t="n">
        <v>7850</v>
      </c>
      <c r="F47" s="8" t="n">
        <v>0</v>
      </c>
      <c r="G47" s="8" t="n">
        <v>180</v>
      </c>
      <c r="H47" s="6" t="n">
        <v>380</v>
      </c>
      <c r="I47" s="6" t="n">
        <v>380</v>
      </c>
      <c r="J47" s="6" t="n">
        <v>800</v>
      </c>
      <c r="K47" s="6" t="s">
        <v>1661</v>
      </c>
    </row>
    <row r="48" customFormat="false" ht="15" hidden="false" customHeight="true" outlineLevel="0" collapsed="false">
      <c r="A48" s="6" t="s">
        <v>397</v>
      </c>
      <c r="B48" s="6" t="n">
        <v>1</v>
      </c>
      <c r="C48" s="6" t="s">
        <v>403</v>
      </c>
      <c r="D48" s="8" t="n">
        <v>1685</v>
      </c>
      <c r="E48" s="8" t="n">
        <v>5783</v>
      </c>
      <c r="F48" s="8" t="n">
        <v>0</v>
      </c>
      <c r="G48" s="8" t="n">
        <v>90</v>
      </c>
      <c r="H48" s="6" t="n">
        <v>1300</v>
      </c>
      <c r="I48" s="6" t="n">
        <v>450</v>
      </c>
      <c r="J48" s="6" t="n">
        <v>450</v>
      </c>
      <c r="K48" s="6" t="s">
        <v>1662</v>
      </c>
    </row>
    <row r="49" customFormat="false" ht="15" hidden="false" customHeight="true" outlineLevel="0" collapsed="false">
      <c r="A49" s="6" t="s">
        <v>405</v>
      </c>
      <c r="B49" s="6" t="n">
        <v>1</v>
      </c>
      <c r="C49" s="6" t="s">
        <v>411</v>
      </c>
      <c r="D49" s="8" t="n">
        <v>430</v>
      </c>
      <c r="E49" s="8" t="n">
        <v>5783</v>
      </c>
      <c r="F49" s="8" t="n">
        <v>0</v>
      </c>
      <c r="G49" s="8" t="n">
        <v>270</v>
      </c>
      <c r="H49" s="6" t="n">
        <v>1600</v>
      </c>
      <c r="I49" s="6" t="n">
        <v>400</v>
      </c>
      <c r="J49" s="6" t="n">
        <v>500</v>
      </c>
      <c r="K49" s="6" t="s">
        <v>1663</v>
      </c>
    </row>
    <row r="50" customFormat="false" ht="15" hidden="false" customHeight="true" outlineLevel="0" collapsed="false">
      <c r="A50" s="6" t="s">
        <v>413</v>
      </c>
      <c r="B50" s="6" t="n">
        <v>1</v>
      </c>
      <c r="C50" s="6" t="s">
        <v>420</v>
      </c>
      <c r="D50" s="8" t="n">
        <v>2800</v>
      </c>
      <c r="E50" s="8" t="n">
        <v>4045</v>
      </c>
      <c r="F50" s="8" t="n">
        <v>0</v>
      </c>
      <c r="G50" s="8" t="n">
        <v>180</v>
      </c>
      <c r="H50" s="6" t="n">
        <v>1000</v>
      </c>
      <c r="I50" s="6" t="n">
        <v>500</v>
      </c>
      <c r="J50" s="6" t="n">
        <v>750</v>
      </c>
      <c r="K50" s="6" t="s">
        <v>1664</v>
      </c>
    </row>
    <row r="51" customFormat="false" ht="15" hidden="false" customHeight="true" outlineLevel="0" collapsed="false">
      <c r="A51" s="6" t="s">
        <v>423</v>
      </c>
      <c r="B51" s="6" t="n">
        <v>1</v>
      </c>
      <c r="C51" s="6" t="s">
        <v>426</v>
      </c>
      <c r="D51" s="8" t="n">
        <v>480</v>
      </c>
      <c r="E51" s="8" t="n">
        <v>6950</v>
      </c>
      <c r="F51" s="8" t="n">
        <v>0</v>
      </c>
      <c r="G51" s="8" t="n">
        <v>0</v>
      </c>
      <c r="H51" s="6" t="n">
        <v>500</v>
      </c>
      <c r="I51" s="6" t="n">
        <v>500</v>
      </c>
      <c r="J51" s="6" t="n">
        <v>1600</v>
      </c>
      <c r="K51" s="6" t="s">
        <v>1665</v>
      </c>
    </row>
    <row r="52" customFormat="false" ht="15" hidden="false" customHeight="true" outlineLevel="0" collapsed="false">
      <c r="A52" s="6" t="s">
        <v>428</v>
      </c>
      <c r="B52" s="6" t="n">
        <v>1</v>
      </c>
      <c r="C52" s="6" t="s">
        <v>431</v>
      </c>
      <c r="D52" s="8" t="n">
        <v>825</v>
      </c>
      <c r="E52" s="8" t="n">
        <v>3815</v>
      </c>
      <c r="F52" s="8" t="n">
        <v>1200</v>
      </c>
      <c r="G52" s="8" t="n">
        <v>0</v>
      </c>
      <c r="H52" s="6" t="n">
        <v>850</v>
      </c>
      <c r="I52" s="6" t="n">
        <v>40</v>
      </c>
      <c r="J52" s="6" t="n">
        <v>600</v>
      </c>
      <c r="K52" s="6" t="s">
        <v>1666</v>
      </c>
    </row>
    <row r="53" customFormat="false" ht="15" hidden="false" customHeight="true" outlineLevel="0" collapsed="false">
      <c r="A53" s="6" t="s">
        <v>433</v>
      </c>
      <c r="B53" s="6" t="n">
        <v>1</v>
      </c>
      <c r="C53" s="6" t="s">
        <v>436</v>
      </c>
      <c r="D53" s="8" t="n">
        <v>2800</v>
      </c>
      <c r="E53" s="8" t="n">
        <v>3815</v>
      </c>
      <c r="F53" s="8" t="n">
        <v>900</v>
      </c>
      <c r="G53" s="8" t="n">
        <v>0</v>
      </c>
      <c r="H53" s="6" t="n">
        <v>900</v>
      </c>
      <c r="I53" s="6" t="n">
        <v>40</v>
      </c>
      <c r="J53" s="6" t="n">
        <v>1200</v>
      </c>
      <c r="K53" s="6" t="s">
        <v>1667</v>
      </c>
    </row>
    <row r="54" customFormat="false" ht="15" hidden="false" customHeight="true" outlineLevel="0" collapsed="false">
      <c r="A54" s="6" t="s">
        <v>438</v>
      </c>
      <c r="B54" s="6" t="n">
        <v>1</v>
      </c>
      <c r="C54" s="6" t="s">
        <v>174</v>
      </c>
      <c r="D54" s="8" t="n">
        <v>3600</v>
      </c>
      <c r="E54" s="8" t="n">
        <v>4450</v>
      </c>
      <c r="F54" s="8" t="s">
        <v>170</v>
      </c>
      <c r="G54" s="8" t="n">
        <v>0</v>
      </c>
      <c r="H54" s="6" t="n">
        <v>250</v>
      </c>
      <c r="I54" s="6" t="n">
        <v>250</v>
      </c>
      <c r="J54" s="6" t="n">
        <v>150</v>
      </c>
      <c r="K54" s="6" t="s">
        <v>1668</v>
      </c>
    </row>
    <row r="55" customFormat="false" ht="15" hidden="false" customHeight="true" outlineLevel="0" collapsed="false">
      <c r="A55" s="6" t="s">
        <v>444</v>
      </c>
      <c r="B55" s="6" t="n">
        <v>1</v>
      </c>
      <c r="C55" s="6" t="s">
        <v>174</v>
      </c>
      <c r="D55" s="8" t="n">
        <v>3600</v>
      </c>
      <c r="E55" s="8" t="n">
        <v>7100</v>
      </c>
      <c r="F55" s="8" t="s">
        <v>170</v>
      </c>
      <c r="G55" s="8" t="n">
        <v>0</v>
      </c>
      <c r="H55" s="6" t="n">
        <v>250</v>
      </c>
      <c r="I55" s="6" t="n">
        <v>250</v>
      </c>
      <c r="J55" s="6" t="n">
        <v>150</v>
      </c>
      <c r="K55" s="6" t="s">
        <v>1669</v>
      </c>
    </row>
    <row r="56" customFormat="false" ht="15" hidden="false" customHeight="true" outlineLevel="0" collapsed="false">
      <c r="A56" s="6" t="s">
        <v>449</v>
      </c>
      <c r="B56" s="6" t="n">
        <v>1</v>
      </c>
      <c r="C56" s="6" t="s">
        <v>174</v>
      </c>
      <c r="D56" s="8" t="n">
        <v>1625</v>
      </c>
      <c r="E56" s="8" t="n">
        <v>7850</v>
      </c>
      <c r="F56" s="8" t="s">
        <v>170</v>
      </c>
      <c r="G56" s="8" t="n">
        <v>0</v>
      </c>
      <c r="H56" s="6" t="n">
        <v>250</v>
      </c>
      <c r="I56" s="6" t="n">
        <v>250</v>
      </c>
      <c r="J56" s="6" t="n">
        <v>150</v>
      </c>
      <c r="K56" s="6" t="s">
        <v>1670</v>
      </c>
    </row>
    <row r="57" customFormat="false" ht="15" hidden="false" customHeight="true" outlineLevel="0" collapsed="false">
      <c r="A57" s="6" t="s">
        <v>453</v>
      </c>
      <c r="B57" s="6" t="n">
        <v>1</v>
      </c>
      <c r="C57" s="6" t="s">
        <v>174</v>
      </c>
      <c r="D57" s="8" t="n">
        <v>2700</v>
      </c>
      <c r="E57" s="8" t="n">
        <v>4045</v>
      </c>
      <c r="F57" s="8" t="s">
        <v>170</v>
      </c>
      <c r="G57" s="8" t="n">
        <v>0</v>
      </c>
      <c r="H57" s="6" t="n">
        <v>250</v>
      </c>
      <c r="I57" s="6" t="n">
        <v>250</v>
      </c>
      <c r="J57" s="6" t="n">
        <v>150</v>
      </c>
      <c r="K57" s="6" t="s">
        <v>1671</v>
      </c>
    </row>
    <row r="58" customFormat="false" ht="15" hidden="false" customHeight="true" outlineLevel="0" collapsed="false">
      <c r="A58" s="6" t="s">
        <v>457</v>
      </c>
      <c r="B58" s="6" t="n">
        <v>1</v>
      </c>
      <c r="C58" s="6" t="s">
        <v>174</v>
      </c>
      <c r="D58" s="8" t="n">
        <v>1685</v>
      </c>
      <c r="E58" s="8" t="n">
        <v>5783</v>
      </c>
      <c r="F58" s="8" t="s">
        <v>170</v>
      </c>
      <c r="G58" s="8" t="n">
        <v>0</v>
      </c>
      <c r="H58" s="6" t="n">
        <v>250</v>
      </c>
      <c r="I58" s="6" t="n">
        <v>250</v>
      </c>
      <c r="J58" s="6" t="n">
        <v>150</v>
      </c>
      <c r="K58" s="6" t="s">
        <v>1672</v>
      </c>
    </row>
    <row r="59" customFormat="false" ht="15" hidden="false" customHeight="true" outlineLevel="0" collapsed="false">
      <c r="A59" s="6" t="s">
        <v>461</v>
      </c>
      <c r="B59" s="6" t="n">
        <v>1</v>
      </c>
      <c r="C59" s="6" t="s">
        <v>466</v>
      </c>
      <c r="D59" s="8" t="n">
        <v>3990</v>
      </c>
      <c r="E59" s="8" t="n">
        <v>5775</v>
      </c>
      <c r="F59" s="8" t="n">
        <v>0</v>
      </c>
      <c r="G59" s="8" t="n">
        <v>90</v>
      </c>
      <c r="H59" s="6" t="n">
        <v>2750</v>
      </c>
      <c r="I59" s="6" t="n">
        <v>100</v>
      </c>
      <c r="J59" s="6" t="n">
        <v>2700</v>
      </c>
      <c r="K59" s="6" t="s">
        <v>1673</v>
      </c>
    </row>
    <row r="60" customFormat="false" ht="15" hidden="false" customHeight="true" outlineLevel="0" collapsed="false">
      <c r="A60" s="6" t="s">
        <v>468</v>
      </c>
      <c r="B60" s="6" t="n">
        <v>1</v>
      </c>
      <c r="C60" s="6" t="s">
        <v>472</v>
      </c>
      <c r="D60" s="8" t="n">
        <v>250</v>
      </c>
      <c r="E60" s="8" t="n">
        <v>5783</v>
      </c>
      <c r="F60" s="8" t="n">
        <v>0</v>
      </c>
      <c r="G60" s="8" t="n">
        <v>270</v>
      </c>
      <c r="H60" s="6" t="n">
        <v>2000</v>
      </c>
      <c r="I60" s="6" t="n">
        <v>40</v>
      </c>
      <c r="J60" s="6" t="n">
        <v>2700</v>
      </c>
      <c r="K60" s="6" t="s">
        <v>1674</v>
      </c>
    </row>
    <row r="61" customFormat="false" ht="15" hidden="false" customHeight="true" outlineLevel="0" collapsed="false">
      <c r="A61" s="6" t="s">
        <v>474</v>
      </c>
      <c r="B61" s="6" t="n">
        <v>1</v>
      </c>
      <c r="C61" s="6" t="s">
        <v>477</v>
      </c>
      <c r="D61" s="8" t="n">
        <v>2575</v>
      </c>
      <c r="E61" s="8" t="n">
        <v>5800</v>
      </c>
      <c r="F61" s="8" t="n">
        <v>2950</v>
      </c>
      <c r="G61" s="8" t="n">
        <v>0</v>
      </c>
      <c r="H61" s="6" t="n">
        <v>2600</v>
      </c>
      <c r="I61" s="6" t="n">
        <v>2550</v>
      </c>
      <c r="J61" s="6" t="n">
        <v>200</v>
      </c>
      <c r="K61" s="6" t="s">
        <v>1675</v>
      </c>
    </row>
    <row r="62" customFormat="false" ht="15" hidden="false" customHeight="true" outlineLevel="0" collapsed="false">
      <c r="A62" s="6" t="s">
        <v>479</v>
      </c>
      <c r="B62" s="6" t="n">
        <v>1</v>
      </c>
      <c r="C62" s="6" t="s">
        <v>485</v>
      </c>
      <c r="D62" s="8" t="n">
        <v>245</v>
      </c>
      <c r="E62" s="8" t="n">
        <v>7750</v>
      </c>
      <c r="F62" s="8" t="n">
        <v>1050</v>
      </c>
      <c r="G62" s="8" t="n">
        <v>270</v>
      </c>
      <c r="H62" s="6" t="n">
        <v>900</v>
      </c>
      <c r="I62" s="6" t="n">
        <v>30</v>
      </c>
      <c r="J62" s="6" t="n">
        <v>900</v>
      </c>
      <c r="K62" s="6" t="s">
        <v>1676</v>
      </c>
    </row>
    <row r="63" customFormat="false" ht="15" hidden="false" customHeight="true" outlineLevel="0" collapsed="false">
      <c r="A63" s="6" t="s">
        <v>487</v>
      </c>
      <c r="B63" s="6" t="n">
        <v>1</v>
      </c>
      <c r="C63" s="6" t="s">
        <v>492</v>
      </c>
      <c r="D63" s="8" t="n">
        <v>2135</v>
      </c>
      <c r="E63" s="8" t="n">
        <v>6036</v>
      </c>
      <c r="F63" s="8" t="n">
        <v>0</v>
      </c>
      <c r="G63" s="8" t="n">
        <v>0</v>
      </c>
      <c r="H63" s="6" t="n">
        <v>4482</v>
      </c>
      <c r="I63" s="6" t="n">
        <v>3810</v>
      </c>
      <c r="J63" s="6" t="n">
        <v>15</v>
      </c>
      <c r="K63" s="6" t="s">
        <v>1677</v>
      </c>
    </row>
    <row r="64" customFormat="false" ht="15" hidden="false" customHeight="true" outlineLevel="0" collapsed="false">
      <c r="A64" s="6" t="s">
        <v>494</v>
      </c>
      <c r="B64" s="6" t="n">
        <v>1</v>
      </c>
      <c r="C64" s="6" t="s">
        <v>500</v>
      </c>
      <c r="D64" s="8" t="n">
        <v>2950</v>
      </c>
      <c r="E64" s="8" t="n">
        <v>4750</v>
      </c>
      <c r="F64" s="8" t="n">
        <v>2750</v>
      </c>
      <c r="G64" s="8" t="n">
        <v>0</v>
      </c>
      <c r="H64" s="6" t="n">
        <v>1900</v>
      </c>
      <c r="I64" s="6" t="n">
        <v>40</v>
      </c>
      <c r="J64" s="6" t="n">
        <v>40</v>
      </c>
      <c r="K64" s="6" t="s">
        <v>1678</v>
      </c>
    </row>
    <row r="65" customFormat="false" ht="15" hidden="false" customHeight="true" outlineLevel="0" collapsed="false">
      <c r="A65" s="6" t="s">
        <v>494</v>
      </c>
      <c r="B65" s="6" t="n">
        <v>2</v>
      </c>
      <c r="C65" s="6" t="s">
        <v>500</v>
      </c>
      <c r="D65" s="8" t="n">
        <v>2950</v>
      </c>
      <c r="E65" s="8" t="n">
        <v>6820</v>
      </c>
      <c r="F65" s="8" t="n">
        <v>2750</v>
      </c>
      <c r="G65" s="8" t="n">
        <v>0</v>
      </c>
      <c r="H65" s="6" t="n">
        <v>1900</v>
      </c>
      <c r="I65" s="6" t="n">
        <v>40</v>
      </c>
      <c r="J65" s="6" t="n">
        <v>40</v>
      </c>
      <c r="K65" s="6" t="s">
        <v>1679</v>
      </c>
    </row>
    <row r="66" customFormat="false" ht="15" hidden="false" customHeight="true" outlineLevel="0" collapsed="false">
      <c r="A66" s="6" t="s">
        <v>502</v>
      </c>
      <c r="B66" s="6" t="n">
        <v>1</v>
      </c>
      <c r="C66" s="6" t="s">
        <v>509</v>
      </c>
      <c r="D66" s="8" t="n">
        <v>3715</v>
      </c>
      <c r="E66" s="8" t="n">
        <v>4594</v>
      </c>
      <c r="F66" s="8" t="n">
        <v>2750</v>
      </c>
      <c r="G66" s="8" t="n">
        <v>0</v>
      </c>
      <c r="H66" s="6" t="n">
        <v>260</v>
      </c>
      <c r="I66" s="6" t="n">
        <v>260</v>
      </c>
      <c r="J66" s="6" t="n">
        <v>350</v>
      </c>
      <c r="K66" s="6" t="s">
        <v>1680</v>
      </c>
    </row>
    <row r="67" customFormat="false" ht="15" hidden="false" customHeight="true" outlineLevel="0" collapsed="false">
      <c r="A67" s="6" t="s">
        <v>502</v>
      </c>
      <c r="B67" s="6" t="n">
        <v>2</v>
      </c>
      <c r="C67" s="6" t="s">
        <v>509</v>
      </c>
      <c r="D67" s="8" t="n">
        <v>3715</v>
      </c>
      <c r="E67" s="8" t="n">
        <v>6973</v>
      </c>
      <c r="F67" s="8" t="n">
        <v>2750</v>
      </c>
      <c r="G67" s="8" t="n">
        <v>0</v>
      </c>
      <c r="H67" s="6" t="n">
        <v>260</v>
      </c>
      <c r="I67" s="6" t="n">
        <v>260</v>
      </c>
      <c r="J67" s="6" t="n">
        <v>350</v>
      </c>
      <c r="K67" s="6" t="s">
        <v>1681</v>
      </c>
    </row>
    <row r="68" customFormat="false" ht="15" hidden="false" customHeight="true" outlineLevel="0" collapsed="false">
      <c r="A68" s="6" t="s">
        <v>511</v>
      </c>
      <c r="B68" s="6" t="n">
        <v>1</v>
      </c>
      <c r="C68" s="6" t="s">
        <v>514</v>
      </c>
      <c r="D68" s="8" t="n">
        <v>2950</v>
      </c>
      <c r="E68" s="8" t="n">
        <v>5784</v>
      </c>
      <c r="F68" s="8" t="s">
        <v>170</v>
      </c>
      <c r="G68" s="8" t="n">
        <v>0</v>
      </c>
      <c r="H68" s="6" t="n">
        <v>2020</v>
      </c>
      <c r="I68" s="6" t="n">
        <v>1869</v>
      </c>
      <c r="J68" s="6" t="n">
        <v>10</v>
      </c>
      <c r="K68" s="6" t="s">
        <v>1682</v>
      </c>
    </row>
    <row r="69" customFormat="false" ht="15" hidden="false" customHeight="true" outlineLevel="0" collapsed="false">
      <c r="A69" s="6" t="s">
        <v>516</v>
      </c>
      <c r="B69" s="6" t="n">
        <v>1</v>
      </c>
      <c r="C69" s="6" t="s">
        <v>519</v>
      </c>
      <c r="D69" s="8" t="n">
        <v>2650</v>
      </c>
      <c r="E69" s="8" t="n">
        <v>7750</v>
      </c>
      <c r="F69" s="8" t="n">
        <v>0</v>
      </c>
      <c r="G69" s="8" t="n">
        <v>0</v>
      </c>
      <c r="H69" s="6" t="n">
        <v>300</v>
      </c>
      <c r="I69" s="6" t="n">
        <v>300</v>
      </c>
      <c r="J69" s="6" t="n">
        <v>1500</v>
      </c>
      <c r="K69" s="6" t="s">
        <v>1683</v>
      </c>
    </row>
    <row r="70" customFormat="false" ht="15" hidden="false" customHeight="true" outlineLevel="0" collapsed="false">
      <c r="A70" s="6" t="s">
        <v>521</v>
      </c>
      <c r="B70" s="6" t="n">
        <v>1</v>
      </c>
      <c r="C70" s="6" t="s">
        <v>528</v>
      </c>
      <c r="D70" s="8" t="n">
        <v>1400</v>
      </c>
      <c r="E70" s="8" t="n">
        <v>6000</v>
      </c>
      <c r="F70" s="8" t="n">
        <v>2750</v>
      </c>
      <c r="G70" s="8" t="n">
        <v>0</v>
      </c>
      <c r="H70" s="6" t="n">
        <v>1200</v>
      </c>
      <c r="I70" s="6" t="n">
        <v>1200</v>
      </c>
      <c r="J70" s="6" t="n">
        <v>400</v>
      </c>
      <c r="K70" s="6" t="s">
        <v>1684</v>
      </c>
    </row>
    <row r="71" customFormat="false" ht="15" hidden="false" customHeight="true" outlineLevel="0" collapsed="false">
      <c r="A71" s="6" t="s">
        <v>530</v>
      </c>
      <c r="B71" s="6" t="n">
        <v>1</v>
      </c>
      <c r="C71" s="6" t="s">
        <v>534</v>
      </c>
      <c r="D71" s="8" t="n">
        <v>1680</v>
      </c>
      <c r="E71" s="8" t="n">
        <v>8254</v>
      </c>
      <c r="F71" s="8" t="n">
        <v>0</v>
      </c>
      <c r="G71" s="8" t="n">
        <v>180</v>
      </c>
      <c r="H71" s="6" t="n">
        <v>2840</v>
      </c>
      <c r="I71" s="6" t="n">
        <v>47</v>
      </c>
      <c r="J71" s="6" t="n">
        <v>2700</v>
      </c>
      <c r="K71" s="6" t="s">
        <v>1685</v>
      </c>
    </row>
    <row r="72" customFormat="false" ht="15" hidden="false" customHeight="true" outlineLevel="0" collapsed="false">
      <c r="A72" s="6" t="s">
        <v>536</v>
      </c>
      <c r="B72" s="6" t="n">
        <v>1</v>
      </c>
      <c r="C72" s="6" t="s">
        <v>540</v>
      </c>
      <c r="D72" s="8" t="n">
        <v>2600</v>
      </c>
      <c r="E72" s="8" t="n">
        <v>5800</v>
      </c>
      <c r="F72" s="8" t="n">
        <v>0</v>
      </c>
      <c r="G72" s="8" t="n">
        <v>0</v>
      </c>
      <c r="H72" s="6" t="n">
        <v>3000</v>
      </c>
      <c r="I72" s="6" t="n">
        <v>2400</v>
      </c>
      <c r="J72" s="6" t="n">
        <v>12</v>
      </c>
      <c r="K72" s="6" t="s">
        <v>1686</v>
      </c>
    </row>
    <row r="73" customFormat="false" ht="15" hidden="false" customHeight="true" outlineLevel="0" collapsed="false">
      <c r="A73" s="6" t="s">
        <v>542</v>
      </c>
      <c r="B73" s="6" t="n">
        <v>1</v>
      </c>
      <c r="C73" s="6" t="s">
        <v>307</v>
      </c>
      <c r="D73" s="8" t="n">
        <v>3000</v>
      </c>
      <c r="E73" s="8" t="n">
        <v>5783</v>
      </c>
      <c r="F73" s="8" t="s">
        <v>170</v>
      </c>
      <c r="G73" s="8" t="n">
        <v>0</v>
      </c>
      <c r="H73" s="6" t="n">
        <v>250</v>
      </c>
      <c r="I73" s="6" t="n">
        <v>250</v>
      </c>
      <c r="J73" s="6" t="n">
        <v>150</v>
      </c>
      <c r="K73" s="6" t="s">
        <v>1687</v>
      </c>
    </row>
    <row r="74" customFormat="false" ht="15" hidden="false" customHeight="true" outlineLevel="0" collapsed="false">
      <c r="A74" s="6" t="s">
        <v>548</v>
      </c>
      <c r="B74" s="6" t="n">
        <v>1</v>
      </c>
      <c r="C74" s="6" t="s">
        <v>554</v>
      </c>
      <c r="D74" s="8" t="n">
        <v>530</v>
      </c>
      <c r="E74" s="8" t="n">
        <v>1994</v>
      </c>
      <c r="F74" s="8" t="n">
        <v>0</v>
      </c>
      <c r="G74" s="8" t="n">
        <v>90</v>
      </c>
      <c r="H74" s="6" t="n">
        <v>3387</v>
      </c>
      <c r="I74" s="6" t="n">
        <v>600</v>
      </c>
      <c r="J74" s="6" t="n">
        <v>2700</v>
      </c>
      <c r="K74" s="6" t="s">
        <v>1688</v>
      </c>
    </row>
    <row r="75" customFormat="false" ht="15" hidden="false" customHeight="true" outlineLevel="0" collapsed="false">
      <c r="A75" s="6" t="s">
        <v>548</v>
      </c>
      <c r="B75" s="6" t="n">
        <v>2</v>
      </c>
      <c r="C75" s="6" t="s">
        <v>554</v>
      </c>
      <c r="D75" s="8" t="n">
        <v>1964</v>
      </c>
      <c r="E75" s="8" t="n">
        <v>2774</v>
      </c>
      <c r="F75" s="8" t="n">
        <v>0</v>
      </c>
      <c r="G75" s="8" t="n">
        <v>90</v>
      </c>
      <c r="H75" s="6" t="n">
        <v>600</v>
      </c>
      <c r="I75" s="6" t="n">
        <v>253</v>
      </c>
      <c r="J75" s="6" t="n">
        <v>2700</v>
      </c>
      <c r="K75" s="6" t="s">
        <v>1689</v>
      </c>
    </row>
    <row r="76" customFormat="false" ht="15" hidden="false" customHeight="true" outlineLevel="0" collapsed="false">
      <c r="A76" s="6" t="s">
        <v>557</v>
      </c>
      <c r="B76" s="6" t="n">
        <v>1</v>
      </c>
      <c r="C76" s="6" t="s">
        <v>563</v>
      </c>
      <c r="D76" s="8" t="n">
        <v>1964</v>
      </c>
      <c r="E76" s="8" t="n">
        <v>975</v>
      </c>
      <c r="F76" s="8" t="n">
        <v>0</v>
      </c>
      <c r="G76" s="8" t="n">
        <v>0</v>
      </c>
      <c r="H76" s="6" t="n">
        <v>600</v>
      </c>
      <c r="I76" s="6" t="n">
        <v>550</v>
      </c>
      <c r="J76" s="6" t="n">
        <v>900</v>
      </c>
      <c r="K76" s="6" t="s">
        <v>1690</v>
      </c>
    </row>
    <row r="77" customFormat="false" ht="15" hidden="false" customHeight="true" outlineLevel="0" collapsed="false">
      <c r="A77" s="6" t="s">
        <v>565</v>
      </c>
      <c r="B77" s="6" t="n">
        <v>1</v>
      </c>
      <c r="C77" s="6" t="s">
        <v>572</v>
      </c>
      <c r="D77" s="8" t="n">
        <v>1964</v>
      </c>
      <c r="E77" s="8" t="n">
        <v>975</v>
      </c>
      <c r="F77" s="8" t="s">
        <v>170</v>
      </c>
      <c r="G77" s="8" t="n">
        <v>0</v>
      </c>
      <c r="H77" s="6" t="n">
        <v>250</v>
      </c>
      <c r="I77" s="6" t="n">
        <v>250</v>
      </c>
      <c r="J77" s="6" t="n">
        <v>0</v>
      </c>
      <c r="K77" s="6" t="s">
        <v>1691</v>
      </c>
    </row>
    <row r="78" customFormat="false" ht="15" hidden="false" customHeight="true" outlineLevel="0" collapsed="false">
      <c r="A78" s="6" t="s">
        <v>574</v>
      </c>
      <c r="B78" s="6" t="n">
        <v>1</v>
      </c>
      <c r="C78" s="6" t="s">
        <v>580</v>
      </c>
      <c r="D78" s="8" t="n">
        <v>1964</v>
      </c>
      <c r="E78" s="8" t="n">
        <v>465</v>
      </c>
      <c r="F78" s="8" t="n">
        <v>0</v>
      </c>
      <c r="G78" s="8" t="n">
        <v>0</v>
      </c>
      <c r="H78" s="6" t="n">
        <v>600</v>
      </c>
      <c r="I78" s="6" t="n">
        <v>470</v>
      </c>
      <c r="J78" s="6" t="n">
        <v>2100</v>
      </c>
      <c r="K78" s="6" t="s">
        <v>1692</v>
      </c>
    </row>
    <row r="79" customFormat="false" ht="15" hidden="false" customHeight="true" outlineLevel="0" collapsed="false">
      <c r="A79" s="6" t="s">
        <v>582</v>
      </c>
      <c r="B79" s="6" t="n">
        <v>1</v>
      </c>
      <c r="C79" s="6" t="s">
        <v>572</v>
      </c>
      <c r="D79" s="8" t="n">
        <v>530</v>
      </c>
      <c r="E79" s="8" t="n">
        <v>2600</v>
      </c>
      <c r="F79" s="8" t="s">
        <v>170</v>
      </c>
      <c r="G79" s="8" t="n">
        <v>0</v>
      </c>
      <c r="H79" s="6" t="n">
        <v>250</v>
      </c>
      <c r="I79" s="6" t="n">
        <v>250</v>
      </c>
      <c r="J79" s="6" t="n">
        <v>0</v>
      </c>
      <c r="K79" s="6" t="s">
        <v>1693</v>
      </c>
    </row>
    <row r="80" customFormat="false" ht="15" hidden="false" customHeight="true" outlineLevel="0" collapsed="false">
      <c r="A80" s="6" t="s">
        <v>587</v>
      </c>
      <c r="B80" s="6" t="n">
        <v>1</v>
      </c>
      <c r="C80" s="6" t="s">
        <v>572</v>
      </c>
      <c r="D80" s="8" t="n">
        <v>530</v>
      </c>
      <c r="E80" s="8" t="n">
        <v>700</v>
      </c>
      <c r="F80" s="8" t="s">
        <v>170</v>
      </c>
      <c r="G80" s="8" t="n">
        <v>0</v>
      </c>
      <c r="H80" s="6" t="n">
        <v>250</v>
      </c>
      <c r="I80" s="6" t="n">
        <v>250</v>
      </c>
      <c r="J80" s="6" t="n">
        <v>0</v>
      </c>
      <c r="K80" s="6" t="s">
        <v>1694</v>
      </c>
    </row>
    <row r="81" customFormat="false" ht="15" hidden="false" customHeight="true" outlineLevel="0" collapsed="false">
      <c r="A81" s="6" t="s">
        <v>592</v>
      </c>
      <c r="B81" s="6" t="n">
        <v>1</v>
      </c>
      <c r="C81" s="6" t="s">
        <v>572</v>
      </c>
      <c r="D81" s="8" t="n">
        <v>530</v>
      </c>
      <c r="E81" s="8" t="n">
        <v>3300</v>
      </c>
      <c r="F81" s="8" t="s">
        <v>170</v>
      </c>
      <c r="G81" s="8" t="n">
        <v>0</v>
      </c>
      <c r="H81" s="6" t="n">
        <v>250</v>
      </c>
      <c r="I81" s="6" t="n">
        <v>250</v>
      </c>
      <c r="J81" s="6" t="n">
        <v>0</v>
      </c>
      <c r="K81" s="6" t="s">
        <v>1695</v>
      </c>
    </row>
    <row r="82" customFormat="false" ht="15" hidden="false" customHeight="true" outlineLevel="0" collapsed="false">
      <c r="A82" s="6" t="s">
        <v>597</v>
      </c>
      <c r="B82" s="6" t="n">
        <v>1</v>
      </c>
      <c r="C82" s="6" t="s">
        <v>600</v>
      </c>
      <c r="D82" s="8" t="n">
        <v>1247</v>
      </c>
      <c r="E82" s="8" t="n">
        <v>950</v>
      </c>
      <c r="F82" s="8" t="n">
        <v>0</v>
      </c>
      <c r="G82" s="8" t="n">
        <v>0</v>
      </c>
      <c r="H82" s="6" t="n">
        <v>400</v>
      </c>
      <c r="I82" s="6" t="n">
        <v>400</v>
      </c>
      <c r="J82" s="6" t="n">
        <v>420</v>
      </c>
      <c r="K82" s="6" t="s">
        <v>1696</v>
      </c>
    </row>
    <row r="83" customFormat="false" ht="15" hidden="false" customHeight="true" outlineLevel="0" collapsed="false">
      <c r="A83" s="6" t="s">
        <v>602</v>
      </c>
      <c r="B83" s="6" t="n">
        <v>1</v>
      </c>
      <c r="C83" s="6" t="s">
        <v>606</v>
      </c>
      <c r="D83" s="8" t="n">
        <v>1250</v>
      </c>
      <c r="E83" s="8" t="n">
        <v>250</v>
      </c>
      <c r="F83" s="8" t="n">
        <v>1050</v>
      </c>
      <c r="G83" s="8" t="n">
        <v>0</v>
      </c>
      <c r="H83" s="6" t="n">
        <v>600</v>
      </c>
      <c r="I83" s="6" t="n">
        <v>40</v>
      </c>
      <c r="J83" s="6" t="n">
        <v>900</v>
      </c>
      <c r="K83" s="6" t="s">
        <v>1697</v>
      </c>
    </row>
    <row r="84" customFormat="false" ht="15" hidden="false" customHeight="true" outlineLevel="0" collapsed="false">
      <c r="A84" s="6" t="s">
        <v>608</v>
      </c>
      <c r="B84" s="6" t="n">
        <v>1</v>
      </c>
      <c r="C84" s="6" t="s">
        <v>174</v>
      </c>
      <c r="D84" s="8" t="n">
        <v>1964</v>
      </c>
      <c r="E84" s="8" t="n">
        <v>1150</v>
      </c>
      <c r="F84" s="8" t="s">
        <v>170</v>
      </c>
      <c r="G84" s="8" t="n">
        <v>0</v>
      </c>
      <c r="H84" s="6" t="n">
        <v>250</v>
      </c>
      <c r="I84" s="6" t="n">
        <v>250</v>
      </c>
      <c r="J84" s="6" t="n">
        <v>150</v>
      </c>
      <c r="K84" s="6" t="s">
        <v>1698</v>
      </c>
    </row>
    <row r="85" customFormat="false" ht="15" hidden="false" customHeight="true" outlineLevel="0" collapsed="false">
      <c r="A85" s="6" t="s">
        <v>612</v>
      </c>
      <c r="B85" s="6" t="n">
        <v>1</v>
      </c>
      <c r="C85" s="6" t="s">
        <v>174</v>
      </c>
      <c r="D85" s="8" t="n">
        <v>1100</v>
      </c>
      <c r="E85" s="8" t="n">
        <v>3300</v>
      </c>
      <c r="F85" s="8" t="s">
        <v>170</v>
      </c>
      <c r="G85" s="8" t="n">
        <v>0</v>
      </c>
      <c r="H85" s="6" t="n">
        <v>250</v>
      </c>
      <c r="I85" s="6" t="n">
        <v>250</v>
      </c>
      <c r="J85" s="6" t="n">
        <v>150</v>
      </c>
      <c r="K85" s="6" t="s">
        <v>1699</v>
      </c>
    </row>
    <row r="86" customFormat="false" ht="15" hidden="false" customHeight="true" outlineLevel="0" collapsed="false">
      <c r="A86" s="6" t="s">
        <v>617</v>
      </c>
      <c r="B86" s="6" t="n">
        <v>1</v>
      </c>
      <c r="C86" s="6" t="s">
        <v>174</v>
      </c>
      <c r="D86" s="8" t="n">
        <v>2100</v>
      </c>
      <c r="E86" s="8" t="n">
        <v>900</v>
      </c>
      <c r="F86" s="8" t="s">
        <v>170</v>
      </c>
      <c r="G86" s="8" t="n">
        <v>0</v>
      </c>
      <c r="H86" s="6" t="n">
        <v>250</v>
      </c>
      <c r="I86" s="6" t="n">
        <v>250</v>
      </c>
      <c r="J86" s="6" t="n">
        <v>150</v>
      </c>
      <c r="K86" s="6" t="s">
        <v>1700</v>
      </c>
    </row>
    <row r="87" customFormat="false" ht="15" hidden="false" customHeight="true" outlineLevel="0" collapsed="false">
      <c r="A87" s="6" t="s">
        <v>622</v>
      </c>
      <c r="B87" s="6" t="n">
        <v>1</v>
      </c>
      <c r="C87" s="6" t="s">
        <v>625</v>
      </c>
      <c r="D87" s="8" t="n">
        <v>1125</v>
      </c>
      <c r="E87" s="8" t="n">
        <v>3667</v>
      </c>
      <c r="F87" s="8" t="n">
        <v>1200</v>
      </c>
      <c r="G87" s="8" t="n">
        <v>180</v>
      </c>
      <c r="H87" s="6" t="n">
        <v>450</v>
      </c>
      <c r="I87" s="6" t="n">
        <v>40</v>
      </c>
      <c r="J87" s="6" t="n">
        <v>600</v>
      </c>
      <c r="K87" s="6" t="s">
        <v>1701</v>
      </c>
    </row>
    <row r="88" customFormat="false" ht="15" hidden="false" customHeight="true" outlineLevel="0" collapsed="false">
      <c r="A88" s="6" t="s">
        <v>627</v>
      </c>
      <c r="B88" s="6" t="n">
        <v>1</v>
      </c>
      <c r="C88" s="6" t="s">
        <v>633</v>
      </c>
      <c r="D88" s="8" t="n">
        <v>1247</v>
      </c>
      <c r="E88" s="8" t="n">
        <v>1958</v>
      </c>
      <c r="F88" s="8" t="n">
        <v>0</v>
      </c>
      <c r="G88" s="8" t="n">
        <v>0</v>
      </c>
      <c r="H88" s="6" t="n">
        <v>3457</v>
      </c>
      <c r="I88" s="6" t="n">
        <v>2034</v>
      </c>
      <c r="J88" s="6" t="n">
        <v>0</v>
      </c>
      <c r="K88" s="6" t="s">
        <v>1702</v>
      </c>
    </row>
    <row r="89" customFormat="false" ht="15" hidden="false" customHeight="true" outlineLevel="0" collapsed="false">
      <c r="A89" s="6" t="s">
        <v>635</v>
      </c>
      <c r="B89" s="6" t="n">
        <v>1</v>
      </c>
      <c r="C89" s="6" t="s">
        <v>572</v>
      </c>
      <c r="D89" s="8" t="n">
        <v>830</v>
      </c>
      <c r="E89" s="8" t="n">
        <v>1800</v>
      </c>
      <c r="F89" s="8" t="s">
        <v>170</v>
      </c>
      <c r="G89" s="8" t="n">
        <v>0</v>
      </c>
      <c r="H89" s="6" t="n">
        <v>250</v>
      </c>
      <c r="I89" s="6" t="n">
        <v>250</v>
      </c>
      <c r="J89" s="6" t="n">
        <v>0</v>
      </c>
      <c r="K89" s="6" t="s">
        <v>1703</v>
      </c>
    </row>
    <row r="90" customFormat="false" ht="15" hidden="false" customHeight="true" outlineLevel="0" collapsed="false">
      <c r="A90" s="6" t="s">
        <v>641</v>
      </c>
      <c r="B90" s="6" t="n">
        <v>1</v>
      </c>
      <c r="C90" s="6" t="s">
        <v>572</v>
      </c>
      <c r="D90" s="8" t="n">
        <v>1964</v>
      </c>
      <c r="E90" s="8" t="n">
        <v>800</v>
      </c>
      <c r="F90" s="8" t="s">
        <v>170</v>
      </c>
      <c r="G90" s="8" t="n">
        <v>0</v>
      </c>
      <c r="H90" s="6" t="n">
        <v>250</v>
      </c>
      <c r="I90" s="6" t="n">
        <v>250</v>
      </c>
      <c r="J90" s="6" t="n">
        <v>0</v>
      </c>
      <c r="K90" s="6" t="s">
        <v>1704</v>
      </c>
    </row>
    <row r="91" customFormat="false" ht="15" hidden="false" customHeight="true" outlineLevel="0" collapsed="false">
      <c r="A91" s="6" t="s">
        <v>646</v>
      </c>
      <c r="B91" s="6" t="n">
        <v>1</v>
      </c>
      <c r="C91" s="6" t="s">
        <v>650</v>
      </c>
      <c r="D91" s="8" t="n">
        <v>1247</v>
      </c>
      <c r="E91" s="8" t="n">
        <v>1958</v>
      </c>
      <c r="F91" s="8" t="n">
        <v>0</v>
      </c>
      <c r="G91" s="8" t="n">
        <v>0</v>
      </c>
      <c r="H91" s="6" t="n">
        <v>3457</v>
      </c>
      <c r="I91" s="6" t="n">
        <v>2034</v>
      </c>
      <c r="J91" s="6" t="n">
        <v>15</v>
      </c>
      <c r="K91" s="6" t="s">
        <v>1705</v>
      </c>
    </row>
    <row r="92" customFormat="false" ht="15" hidden="false" customHeight="true" outlineLevel="0" collapsed="false">
      <c r="A92" s="6" t="s">
        <v>652</v>
      </c>
      <c r="B92" s="6" t="n">
        <v>1</v>
      </c>
      <c r="C92" s="6" t="s">
        <v>655</v>
      </c>
      <c r="D92" s="8" t="n">
        <v>835</v>
      </c>
      <c r="E92" s="8" t="n">
        <v>2000</v>
      </c>
      <c r="F92" s="8" t="s">
        <v>170</v>
      </c>
      <c r="G92" s="8" t="n">
        <v>0</v>
      </c>
      <c r="H92" s="6" t="n">
        <v>3200</v>
      </c>
      <c r="I92" s="6" t="n">
        <v>40</v>
      </c>
      <c r="J92" s="6" t="n">
        <v>10</v>
      </c>
      <c r="K92" s="6" t="s">
        <v>1706</v>
      </c>
    </row>
    <row r="93" customFormat="false" ht="15" hidden="false" customHeight="true" outlineLevel="0" collapsed="false">
      <c r="A93" s="6" t="s">
        <v>657</v>
      </c>
      <c r="B93" s="6" t="n">
        <v>1</v>
      </c>
      <c r="C93" s="6" t="s">
        <v>660</v>
      </c>
      <c r="D93" s="8" t="n">
        <v>1247</v>
      </c>
      <c r="E93" s="8" t="n">
        <v>2300</v>
      </c>
      <c r="F93" s="8" t="n">
        <v>2750</v>
      </c>
      <c r="G93" s="8" t="n">
        <v>0</v>
      </c>
      <c r="H93" s="6" t="n">
        <v>2400</v>
      </c>
      <c r="I93" s="6" t="n">
        <v>40</v>
      </c>
      <c r="J93" s="6" t="n">
        <v>40</v>
      </c>
      <c r="K93" s="6" t="s">
        <v>1707</v>
      </c>
    </row>
    <row r="94" customFormat="false" ht="15" hidden="false" customHeight="true" outlineLevel="0" collapsed="false">
      <c r="A94" s="6" t="s">
        <v>662</v>
      </c>
      <c r="B94" s="6" t="n">
        <v>1</v>
      </c>
      <c r="C94" s="6" t="s">
        <v>666</v>
      </c>
      <c r="D94" s="8" t="n">
        <v>1250</v>
      </c>
      <c r="E94" s="8" t="n">
        <v>340</v>
      </c>
      <c r="F94" s="8" t="n">
        <v>2750</v>
      </c>
      <c r="G94" s="8" t="n">
        <v>0</v>
      </c>
      <c r="H94" s="6" t="n">
        <v>160</v>
      </c>
      <c r="I94" s="6" t="n">
        <v>160</v>
      </c>
      <c r="J94" s="6" t="n">
        <v>80</v>
      </c>
      <c r="K94" s="6" t="s">
        <v>1708</v>
      </c>
    </row>
    <row r="95" customFormat="false" ht="15" hidden="false" customHeight="true" outlineLevel="0" collapsed="false">
      <c r="A95" s="6" t="s">
        <v>668</v>
      </c>
      <c r="B95" s="6" t="n">
        <v>1</v>
      </c>
      <c r="C95" s="6" t="s">
        <v>671</v>
      </c>
      <c r="D95" s="8" t="n">
        <v>1250</v>
      </c>
      <c r="E95" s="8" t="n">
        <v>2350</v>
      </c>
      <c r="F95" s="8" t="n">
        <v>0</v>
      </c>
      <c r="G95" s="8" t="n">
        <v>0</v>
      </c>
      <c r="H95" s="6" t="n">
        <v>2400</v>
      </c>
      <c r="I95" s="6" t="n">
        <v>600</v>
      </c>
      <c r="J95" s="6" t="n">
        <v>12</v>
      </c>
      <c r="K95" s="6" t="s">
        <v>1709</v>
      </c>
    </row>
    <row r="96" customFormat="false" ht="15" hidden="false" customHeight="true" outlineLevel="0" collapsed="false">
      <c r="A96" s="6" t="s">
        <v>673</v>
      </c>
      <c r="B96" s="6" t="n">
        <v>1</v>
      </c>
      <c r="C96" s="6" t="s">
        <v>680</v>
      </c>
      <c r="D96" s="8" t="n">
        <v>3722</v>
      </c>
      <c r="E96" s="8" t="n">
        <v>1800</v>
      </c>
      <c r="F96" s="8" t="n">
        <v>0</v>
      </c>
      <c r="G96" s="8" t="n">
        <v>90</v>
      </c>
      <c r="H96" s="6" t="n">
        <v>1500</v>
      </c>
      <c r="I96" s="6" t="n">
        <v>545</v>
      </c>
      <c r="J96" s="6" t="n">
        <v>850</v>
      </c>
      <c r="K96" s="6" t="s">
        <v>1710</v>
      </c>
    </row>
    <row r="97" customFormat="false" ht="15" hidden="false" customHeight="true" outlineLevel="0" collapsed="false">
      <c r="A97" s="6" t="s">
        <v>682</v>
      </c>
      <c r="B97" s="6" t="n">
        <v>1</v>
      </c>
      <c r="C97" s="6" t="s">
        <v>689</v>
      </c>
      <c r="D97" s="8" t="n">
        <v>3200</v>
      </c>
      <c r="E97" s="8" t="n">
        <v>522</v>
      </c>
      <c r="F97" s="8" t="n">
        <v>0</v>
      </c>
      <c r="G97" s="8" t="n">
        <v>90</v>
      </c>
      <c r="H97" s="6" t="n">
        <v>495</v>
      </c>
      <c r="I97" s="6" t="n">
        <v>380</v>
      </c>
      <c r="J97" s="6" t="n">
        <v>400</v>
      </c>
      <c r="K97" s="6" t="s">
        <v>1711</v>
      </c>
    </row>
    <row r="98" customFormat="false" ht="15" hidden="false" customHeight="true" outlineLevel="0" collapsed="false">
      <c r="A98" s="6" t="s">
        <v>691</v>
      </c>
      <c r="B98" s="6" t="n">
        <v>1</v>
      </c>
      <c r="C98" s="6" t="s">
        <v>698</v>
      </c>
      <c r="D98" s="8" t="n">
        <v>3198</v>
      </c>
      <c r="E98" s="8" t="n">
        <v>3164</v>
      </c>
      <c r="F98" s="8" t="n">
        <v>0</v>
      </c>
      <c r="G98" s="8" t="n">
        <v>0</v>
      </c>
      <c r="H98" s="6" t="n">
        <v>1595</v>
      </c>
      <c r="I98" s="6" t="n">
        <v>953</v>
      </c>
      <c r="J98" s="6" t="n">
        <v>2100</v>
      </c>
      <c r="K98" s="6" t="s">
        <v>1712</v>
      </c>
    </row>
    <row r="99" customFormat="false" ht="15" hidden="false" customHeight="true" outlineLevel="0" collapsed="false">
      <c r="A99" s="6" t="s">
        <v>700</v>
      </c>
      <c r="B99" s="6" t="n">
        <v>1</v>
      </c>
      <c r="C99" s="6" t="s">
        <v>707</v>
      </c>
      <c r="D99" s="8" t="n">
        <v>2910</v>
      </c>
      <c r="E99" s="8" t="n">
        <v>3460</v>
      </c>
      <c r="F99" s="8" t="n">
        <v>0</v>
      </c>
      <c r="G99" s="8" t="n">
        <v>0</v>
      </c>
      <c r="H99" s="6" t="n">
        <v>980</v>
      </c>
      <c r="I99" s="6" t="n">
        <v>340</v>
      </c>
      <c r="J99" s="6" t="n">
        <v>450</v>
      </c>
      <c r="K99" s="6" t="s">
        <v>1713</v>
      </c>
    </row>
    <row r="100" customFormat="false" ht="15" hidden="false" customHeight="true" outlineLevel="0" collapsed="false">
      <c r="A100" s="6" t="s">
        <v>709</v>
      </c>
      <c r="B100" s="6" t="n">
        <v>1</v>
      </c>
      <c r="C100" s="6" t="s">
        <v>716</v>
      </c>
      <c r="D100" s="8" t="n">
        <v>3798</v>
      </c>
      <c r="E100" s="8" t="n">
        <v>452</v>
      </c>
      <c r="F100" s="8" t="n">
        <v>0</v>
      </c>
      <c r="G100" s="8" t="n">
        <v>0</v>
      </c>
      <c r="H100" s="6" t="n">
        <v>395</v>
      </c>
      <c r="I100" s="6" t="n">
        <v>355</v>
      </c>
      <c r="J100" s="6" t="n">
        <v>2100</v>
      </c>
      <c r="K100" s="6" t="s">
        <v>1714</v>
      </c>
    </row>
    <row r="101" customFormat="false" ht="15" hidden="false" customHeight="true" outlineLevel="0" collapsed="false">
      <c r="A101" s="6" t="s">
        <v>718</v>
      </c>
      <c r="B101" s="6" t="n">
        <v>1</v>
      </c>
      <c r="C101" s="6" t="s">
        <v>724</v>
      </c>
      <c r="D101" s="8" t="n">
        <v>3975</v>
      </c>
      <c r="E101" s="8" t="n">
        <v>1375</v>
      </c>
      <c r="F101" s="8" t="n">
        <v>0</v>
      </c>
      <c r="G101" s="8" t="n">
        <v>90</v>
      </c>
      <c r="H101" s="6" t="n">
        <v>550</v>
      </c>
      <c r="I101" s="6" t="n">
        <v>40</v>
      </c>
      <c r="J101" s="6" t="n">
        <v>700</v>
      </c>
      <c r="K101" s="6" t="s">
        <v>1715</v>
      </c>
    </row>
    <row r="102" customFormat="false" ht="15" hidden="false" customHeight="true" outlineLevel="0" collapsed="false">
      <c r="A102" s="6" t="s">
        <v>726</v>
      </c>
      <c r="B102" s="6" t="n">
        <v>1</v>
      </c>
      <c r="C102" s="6" t="s">
        <v>730</v>
      </c>
      <c r="D102" s="8" t="n">
        <v>3200</v>
      </c>
      <c r="E102" s="8" t="n">
        <v>295</v>
      </c>
      <c r="F102" s="8" t="n">
        <v>0</v>
      </c>
      <c r="G102" s="8" t="n">
        <v>0</v>
      </c>
      <c r="H102" s="6" t="n">
        <v>380</v>
      </c>
      <c r="I102" s="6" t="n">
        <v>40</v>
      </c>
      <c r="J102" s="6" t="n">
        <v>300</v>
      </c>
      <c r="K102" s="6" t="s">
        <v>1716</v>
      </c>
    </row>
    <row r="103" customFormat="false" ht="15" hidden="false" customHeight="true" outlineLevel="0" collapsed="false">
      <c r="A103" s="6" t="s">
        <v>732</v>
      </c>
      <c r="B103" s="6" t="n">
        <v>1</v>
      </c>
      <c r="C103" s="6" t="s">
        <v>736</v>
      </c>
      <c r="D103" s="8" t="n">
        <v>3975</v>
      </c>
      <c r="E103" s="8" t="n">
        <v>2075</v>
      </c>
      <c r="F103" s="8" t="n">
        <v>1050</v>
      </c>
      <c r="G103" s="8" t="n">
        <v>90</v>
      </c>
      <c r="H103" s="6" t="n">
        <v>750</v>
      </c>
      <c r="I103" s="6" t="n">
        <v>40</v>
      </c>
      <c r="J103" s="6" t="n">
        <v>900</v>
      </c>
      <c r="K103" s="6" t="s">
        <v>1717</v>
      </c>
    </row>
    <row r="104" customFormat="false" ht="15" hidden="false" customHeight="true" outlineLevel="0" collapsed="false">
      <c r="A104" s="6" t="s">
        <v>738</v>
      </c>
      <c r="B104" s="6" t="n">
        <v>1</v>
      </c>
      <c r="C104" s="6" t="s">
        <v>743</v>
      </c>
      <c r="D104" s="8" t="n">
        <v>2420</v>
      </c>
      <c r="E104" s="8" t="n">
        <v>3150</v>
      </c>
      <c r="F104" s="8" t="n">
        <v>0</v>
      </c>
      <c r="G104" s="8" t="n">
        <v>270</v>
      </c>
      <c r="H104" s="6" t="n">
        <v>300</v>
      </c>
      <c r="I104" s="6" t="n">
        <v>40</v>
      </c>
      <c r="J104" s="6" t="n">
        <v>400</v>
      </c>
      <c r="K104" s="6" t="s">
        <v>1718</v>
      </c>
    </row>
    <row r="105" customFormat="false" ht="15" hidden="false" customHeight="true" outlineLevel="0" collapsed="false">
      <c r="A105" s="6" t="s">
        <v>745</v>
      </c>
      <c r="B105" s="6" t="n">
        <v>1</v>
      </c>
      <c r="C105" s="6" t="s">
        <v>174</v>
      </c>
      <c r="D105" s="8" t="n">
        <v>3720</v>
      </c>
      <c r="E105" s="8" t="n">
        <v>1800</v>
      </c>
      <c r="F105" s="8" t="s">
        <v>170</v>
      </c>
      <c r="G105" s="8" t="n">
        <v>0</v>
      </c>
      <c r="H105" s="6" t="n">
        <v>250</v>
      </c>
      <c r="I105" s="6" t="n">
        <v>250</v>
      </c>
      <c r="J105" s="6" t="n">
        <v>150</v>
      </c>
      <c r="K105" s="6" t="s">
        <v>1719</v>
      </c>
    </row>
    <row r="106" customFormat="false" ht="15" hidden="false" customHeight="true" outlineLevel="0" collapsed="false">
      <c r="A106" s="6" t="s">
        <v>750</v>
      </c>
      <c r="B106" s="6" t="n">
        <v>1</v>
      </c>
      <c r="C106" s="6" t="s">
        <v>174</v>
      </c>
      <c r="D106" s="8" t="n">
        <v>3720</v>
      </c>
      <c r="E106" s="8" t="n">
        <v>2300</v>
      </c>
      <c r="F106" s="8" t="s">
        <v>170</v>
      </c>
      <c r="G106" s="8" t="n">
        <v>0</v>
      </c>
      <c r="H106" s="6" t="n">
        <v>250</v>
      </c>
      <c r="I106" s="6" t="n">
        <v>250</v>
      </c>
      <c r="J106" s="6" t="n">
        <v>150</v>
      </c>
      <c r="K106" s="6" t="s">
        <v>1720</v>
      </c>
    </row>
    <row r="107" customFormat="false" ht="15" hidden="false" customHeight="true" outlineLevel="0" collapsed="false">
      <c r="A107" s="6" t="s">
        <v>752</v>
      </c>
      <c r="B107" s="6" t="n">
        <v>1</v>
      </c>
      <c r="C107" s="6" t="s">
        <v>307</v>
      </c>
      <c r="D107" s="8" t="n">
        <v>3720</v>
      </c>
      <c r="E107" s="8" t="n">
        <v>1150</v>
      </c>
      <c r="F107" s="8" t="s">
        <v>170</v>
      </c>
      <c r="G107" s="8" t="n">
        <v>0</v>
      </c>
      <c r="H107" s="6" t="n">
        <v>250</v>
      </c>
      <c r="I107" s="6" t="n">
        <v>250</v>
      </c>
      <c r="J107" s="6" t="n">
        <v>150</v>
      </c>
      <c r="K107" s="6" t="s">
        <v>1721</v>
      </c>
    </row>
    <row r="108" customFormat="false" ht="15" hidden="false" customHeight="true" outlineLevel="0" collapsed="false">
      <c r="A108" s="6" t="s">
        <v>757</v>
      </c>
      <c r="B108" s="6" t="n">
        <v>1</v>
      </c>
      <c r="C108" s="6" t="s">
        <v>174</v>
      </c>
      <c r="D108" s="8" t="n">
        <v>3720</v>
      </c>
      <c r="E108" s="8" t="n">
        <v>2450</v>
      </c>
      <c r="F108" s="8" t="s">
        <v>170</v>
      </c>
      <c r="G108" s="8" t="n">
        <v>0</v>
      </c>
      <c r="H108" s="6" t="n">
        <v>250</v>
      </c>
      <c r="I108" s="6" t="n">
        <v>250</v>
      </c>
      <c r="J108" s="6" t="n">
        <v>150</v>
      </c>
      <c r="K108" s="6" t="s">
        <v>1722</v>
      </c>
    </row>
    <row r="109" customFormat="false" ht="15" hidden="false" customHeight="true" outlineLevel="0" collapsed="false">
      <c r="A109" s="6" t="s">
        <v>759</v>
      </c>
      <c r="B109" s="6" t="n">
        <v>1</v>
      </c>
      <c r="C109" s="6" t="s">
        <v>764</v>
      </c>
      <c r="D109" s="8" t="n">
        <v>3198</v>
      </c>
      <c r="E109" s="8" t="n">
        <v>1958</v>
      </c>
      <c r="F109" s="8" t="n">
        <v>0</v>
      </c>
      <c r="G109" s="8" t="n">
        <v>0</v>
      </c>
      <c r="H109" s="6" t="n">
        <v>3457</v>
      </c>
      <c r="I109" s="6" t="n">
        <v>1684</v>
      </c>
      <c r="J109" s="6" t="n">
        <v>0</v>
      </c>
      <c r="K109" s="6" t="s">
        <v>1723</v>
      </c>
    </row>
    <row r="110" customFormat="false" ht="15" hidden="false" customHeight="true" outlineLevel="0" collapsed="false">
      <c r="A110" s="6" t="s">
        <v>766</v>
      </c>
      <c r="B110" s="6" t="n">
        <v>1</v>
      </c>
      <c r="C110" s="6" t="s">
        <v>770</v>
      </c>
      <c r="D110" s="8" t="n">
        <v>3198</v>
      </c>
      <c r="E110" s="8" t="n">
        <v>3620</v>
      </c>
      <c r="F110" s="8" t="n">
        <v>0</v>
      </c>
      <c r="G110" s="8" t="n">
        <v>180</v>
      </c>
      <c r="H110" s="6" t="n">
        <v>1595</v>
      </c>
      <c r="I110" s="6" t="n">
        <v>40</v>
      </c>
      <c r="J110" s="6" t="n">
        <v>2700</v>
      </c>
      <c r="K110" s="6" t="s">
        <v>1724</v>
      </c>
    </row>
    <row r="111" customFormat="false" ht="15" hidden="false" customHeight="true" outlineLevel="0" collapsed="false">
      <c r="A111" s="6" t="s">
        <v>772</v>
      </c>
      <c r="B111" s="6" t="n">
        <v>1</v>
      </c>
      <c r="C111" s="6" t="s">
        <v>777</v>
      </c>
      <c r="D111" s="8" t="n">
        <v>3198</v>
      </c>
      <c r="E111" s="8" t="n">
        <v>1958</v>
      </c>
      <c r="F111" s="8" t="n">
        <v>0</v>
      </c>
      <c r="G111" s="8" t="n">
        <v>0</v>
      </c>
      <c r="H111" s="6" t="n">
        <v>3457</v>
      </c>
      <c r="I111" s="6" t="n">
        <v>1684</v>
      </c>
      <c r="J111" s="6" t="n">
        <v>15</v>
      </c>
      <c r="K111" s="6" t="s">
        <v>1725</v>
      </c>
    </row>
    <row r="112" customFormat="false" ht="15" hidden="false" customHeight="true" outlineLevel="0" collapsed="false">
      <c r="A112" s="6" t="s">
        <v>779</v>
      </c>
      <c r="B112" s="6" t="n">
        <v>1</v>
      </c>
      <c r="C112" s="6" t="s">
        <v>174</v>
      </c>
      <c r="D112" s="8" t="n">
        <v>3200</v>
      </c>
      <c r="E112" s="8" t="n">
        <v>3480</v>
      </c>
      <c r="F112" s="8" t="s">
        <v>170</v>
      </c>
      <c r="G112" s="8" t="n">
        <v>0</v>
      </c>
      <c r="H112" s="6" t="n">
        <v>250</v>
      </c>
      <c r="I112" s="6" t="n">
        <v>250</v>
      </c>
      <c r="J112" s="6" t="n">
        <v>150</v>
      </c>
      <c r="K112" s="6" t="s">
        <v>1726</v>
      </c>
    </row>
    <row r="113" customFormat="false" ht="15" hidden="false" customHeight="true" outlineLevel="0" collapsed="false">
      <c r="A113" s="6" t="s">
        <v>784</v>
      </c>
      <c r="B113" s="6" t="n">
        <v>1</v>
      </c>
      <c r="C113" s="6" t="s">
        <v>788</v>
      </c>
      <c r="D113" s="8" t="n">
        <v>3950</v>
      </c>
      <c r="E113" s="8" t="n">
        <v>1050</v>
      </c>
      <c r="F113" s="8" t="n">
        <v>1500</v>
      </c>
      <c r="G113" s="8" t="n">
        <v>0</v>
      </c>
      <c r="H113" s="6" t="n">
        <v>180</v>
      </c>
      <c r="I113" s="6" t="n">
        <v>180</v>
      </c>
      <c r="J113" s="6" t="n">
        <v>200</v>
      </c>
      <c r="K113" s="6" t="s">
        <v>1727</v>
      </c>
    </row>
    <row r="114" customFormat="false" ht="15" hidden="false" customHeight="true" outlineLevel="0" collapsed="false">
      <c r="A114" s="6" t="s">
        <v>784</v>
      </c>
      <c r="B114" s="6" t="n">
        <v>2</v>
      </c>
      <c r="C114" s="6" t="s">
        <v>788</v>
      </c>
      <c r="D114" s="8" t="n">
        <v>3950</v>
      </c>
      <c r="E114" s="8" t="n">
        <v>2550</v>
      </c>
      <c r="F114" s="8" t="n">
        <v>1500</v>
      </c>
      <c r="G114" s="8" t="n">
        <v>0</v>
      </c>
      <c r="H114" s="6" t="n">
        <v>180</v>
      </c>
      <c r="I114" s="6" t="n">
        <v>180</v>
      </c>
      <c r="J114" s="6" t="n">
        <v>200</v>
      </c>
      <c r="K114" s="6" t="s">
        <v>1728</v>
      </c>
    </row>
    <row r="115" customFormat="false" ht="15" hidden="false" customHeight="true" outlineLevel="0" collapsed="false">
      <c r="A115" s="6" t="s">
        <v>790</v>
      </c>
      <c r="B115" s="6" t="n">
        <v>1</v>
      </c>
      <c r="C115" s="6" t="s">
        <v>793</v>
      </c>
      <c r="D115" s="8" t="n">
        <v>3950</v>
      </c>
      <c r="E115" s="8" t="n">
        <v>1800</v>
      </c>
      <c r="F115" s="8" t="s">
        <v>170</v>
      </c>
      <c r="G115" s="8" t="n">
        <v>0</v>
      </c>
      <c r="H115" s="6" t="n">
        <v>1300</v>
      </c>
      <c r="I115" s="6" t="n">
        <v>40</v>
      </c>
      <c r="J115" s="6" t="n">
        <v>10</v>
      </c>
      <c r="K115" s="6" t="s">
        <v>1729</v>
      </c>
    </row>
    <row r="116" customFormat="false" ht="15" hidden="false" customHeight="true" outlineLevel="0" collapsed="false">
      <c r="A116" s="6" t="s">
        <v>795</v>
      </c>
      <c r="B116" s="6" t="n">
        <v>1</v>
      </c>
      <c r="C116" s="6" t="s">
        <v>799</v>
      </c>
      <c r="D116" s="8" t="n">
        <v>2420</v>
      </c>
      <c r="E116" s="8" t="n">
        <v>3150</v>
      </c>
      <c r="F116" s="8" t="n">
        <v>2750</v>
      </c>
      <c r="G116" s="8" t="n">
        <v>0</v>
      </c>
      <c r="H116" s="6" t="n">
        <v>150</v>
      </c>
      <c r="I116" s="6" t="n">
        <v>150</v>
      </c>
      <c r="J116" s="6" t="n">
        <v>80</v>
      </c>
      <c r="K116" s="6" t="s">
        <v>1730</v>
      </c>
    </row>
    <row r="117" customFormat="false" ht="15" hidden="false" customHeight="true" outlineLevel="0" collapsed="false">
      <c r="A117" s="6" t="s">
        <v>801</v>
      </c>
      <c r="B117" s="6" t="n">
        <v>1</v>
      </c>
      <c r="C117" s="6" t="s">
        <v>805</v>
      </c>
      <c r="D117" s="8" t="n">
        <v>3200</v>
      </c>
      <c r="E117" s="8" t="n">
        <v>3150</v>
      </c>
      <c r="F117" s="8" t="n">
        <v>2750</v>
      </c>
      <c r="G117" s="8" t="n">
        <v>0</v>
      </c>
      <c r="H117" s="6" t="n">
        <v>200</v>
      </c>
      <c r="I117" s="6" t="n">
        <v>200</v>
      </c>
      <c r="J117" s="6" t="n">
        <v>80</v>
      </c>
      <c r="K117" s="6" t="s">
        <v>1731</v>
      </c>
    </row>
    <row r="118" customFormat="false" ht="15" hidden="false" customHeight="true" outlineLevel="0" collapsed="false">
      <c r="A118" s="6" t="s">
        <v>807</v>
      </c>
      <c r="B118" s="6" t="n">
        <v>1</v>
      </c>
      <c r="C118" s="6" t="s">
        <v>811</v>
      </c>
      <c r="D118" s="8" t="n">
        <v>2378</v>
      </c>
      <c r="E118" s="8" t="n">
        <v>700</v>
      </c>
      <c r="F118" s="8" t="s">
        <v>170</v>
      </c>
      <c r="G118" s="8" t="n">
        <v>270</v>
      </c>
      <c r="H118" s="6" t="n">
        <v>600</v>
      </c>
      <c r="I118" s="6" t="n">
        <v>44</v>
      </c>
      <c r="J118" s="6" t="n">
        <v>1200</v>
      </c>
      <c r="K118" s="6" t="s">
        <v>1732</v>
      </c>
    </row>
    <row r="119" customFormat="false" ht="15" hidden="false" customHeight="true" outlineLevel="0" collapsed="false">
      <c r="A119" s="6" t="s">
        <v>813</v>
      </c>
      <c r="B119" s="6" t="n">
        <v>1</v>
      </c>
      <c r="C119" s="6" t="s">
        <v>307</v>
      </c>
      <c r="D119" s="8" t="n">
        <v>2450</v>
      </c>
      <c r="E119" s="8" t="n">
        <v>700</v>
      </c>
      <c r="F119" s="8" t="s">
        <v>170</v>
      </c>
      <c r="G119" s="8" t="n">
        <v>0</v>
      </c>
      <c r="H119" s="6" t="n">
        <v>250</v>
      </c>
      <c r="I119" s="6" t="n">
        <v>250</v>
      </c>
      <c r="J119" s="6" t="n">
        <v>150</v>
      </c>
      <c r="K119" s="6" t="s">
        <v>1733</v>
      </c>
    </row>
    <row r="120" customFormat="false" ht="15" hidden="false" customHeight="true" outlineLevel="0" collapsed="false">
      <c r="A120" s="6" t="s">
        <v>817</v>
      </c>
      <c r="B120" s="6" t="n">
        <v>1</v>
      </c>
      <c r="C120" s="6" t="s">
        <v>821</v>
      </c>
      <c r="D120" s="8" t="n">
        <v>3000</v>
      </c>
      <c r="E120" s="8" t="n">
        <v>1550</v>
      </c>
      <c r="F120" s="8" t="n">
        <v>0</v>
      </c>
      <c r="G120" s="8" t="n">
        <v>0</v>
      </c>
      <c r="H120" s="6" t="n">
        <v>600</v>
      </c>
      <c r="I120" s="6" t="n">
        <v>500</v>
      </c>
      <c r="J120" s="6" t="n">
        <v>12</v>
      </c>
      <c r="K120" s="6" t="s">
        <v>1734</v>
      </c>
    </row>
    <row r="121" customFormat="false" ht="15" hidden="false" customHeight="true" outlineLevel="0" collapsed="false">
      <c r="A121" s="6" t="s">
        <v>823</v>
      </c>
      <c r="B121" s="6" t="n">
        <v>1</v>
      </c>
      <c r="C121" s="6" t="s">
        <v>377</v>
      </c>
      <c r="D121" s="8" t="n">
        <v>9348</v>
      </c>
      <c r="E121" s="8" t="n">
        <v>1320</v>
      </c>
      <c r="F121" s="8" t="n">
        <v>0</v>
      </c>
      <c r="G121" s="8" t="n">
        <v>0</v>
      </c>
      <c r="H121" s="6" t="n">
        <v>1981</v>
      </c>
      <c r="I121" s="6" t="n">
        <v>1829</v>
      </c>
      <c r="J121" s="6" t="n">
        <v>450</v>
      </c>
      <c r="K121" s="6" t="s">
        <v>1735</v>
      </c>
    </row>
    <row r="122" customFormat="false" ht="15" hidden="false" customHeight="true" outlineLevel="0" collapsed="false">
      <c r="A122" s="6" t="s">
        <v>828</v>
      </c>
      <c r="B122" s="6" t="n">
        <v>1</v>
      </c>
      <c r="C122" s="6" t="s">
        <v>385</v>
      </c>
      <c r="D122" s="8" t="n">
        <v>8158</v>
      </c>
      <c r="E122" s="8" t="n">
        <v>555</v>
      </c>
      <c r="F122" s="8" t="n">
        <v>0</v>
      </c>
      <c r="G122" s="8" t="n">
        <v>0</v>
      </c>
      <c r="H122" s="6" t="n">
        <v>450</v>
      </c>
      <c r="I122" s="6" t="n">
        <v>450</v>
      </c>
      <c r="J122" s="6" t="n">
        <v>550</v>
      </c>
      <c r="K122" s="6" t="s">
        <v>1736</v>
      </c>
    </row>
    <row r="123" customFormat="false" ht="15" hidden="false" customHeight="true" outlineLevel="0" collapsed="false">
      <c r="A123" s="6" t="s">
        <v>828</v>
      </c>
      <c r="B123" s="6" t="n">
        <v>2</v>
      </c>
      <c r="C123" s="6" t="s">
        <v>385</v>
      </c>
      <c r="D123" s="8" t="n">
        <v>10537</v>
      </c>
      <c r="E123" s="8" t="n">
        <v>555</v>
      </c>
      <c r="F123" s="8" t="n">
        <v>0</v>
      </c>
      <c r="G123" s="8" t="n">
        <v>0</v>
      </c>
      <c r="H123" s="6" t="n">
        <v>450</v>
      </c>
      <c r="I123" s="6" t="n">
        <v>450</v>
      </c>
      <c r="J123" s="6" t="n">
        <v>550</v>
      </c>
      <c r="K123" s="6" t="s">
        <v>1737</v>
      </c>
    </row>
    <row r="124" customFormat="false" ht="15" hidden="false" customHeight="true" outlineLevel="0" collapsed="false">
      <c r="A124" s="6" t="s">
        <v>830</v>
      </c>
      <c r="B124" s="6" t="n">
        <v>1</v>
      </c>
      <c r="C124" s="6" t="s">
        <v>836</v>
      </c>
      <c r="D124" s="8" t="n">
        <v>6835</v>
      </c>
      <c r="E124" s="8" t="n">
        <v>1900</v>
      </c>
      <c r="F124" s="8" t="n">
        <v>0</v>
      </c>
      <c r="G124" s="8" t="n">
        <v>270</v>
      </c>
      <c r="H124" s="6" t="n">
        <v>1200</v>
      </c>
      <c r="I124" s="6" t="n">
        <v>450</v>
      </c>
      <c r="J124" s="6" t="n">
        <v>800</v>
      </c>
      <c r="K124" s="6" t="s">
        <v>1738</v>
      </c>
    </row>
    <row r="125" customFormat="false" ht="15" hidden="false" customHeight="true" outlineLevel="0" collapsed="false">
      <c r="A125" s="6" t="s">
        <v>838</v>
      </c>
      <c r="B125" s="6" t="n">
        <v>1</v>
      </c>
      <c r="C125" s="6" t="s">
        <v>394</v>
      </c>
      <c r="D125" s="8" t="n">
        <v>7100</v>
      </c>
      <c r="E125" s="8" t="n">
        <v>700</v>
      </c>
      <c r="F125" s="8" t="n">
        <v>0</v>
      </c>
      <c r="G125" s="8" t="n">
        <v>315</v>
      </c>
      <c r="H125" s="6" t="n">
        <v>760</v>
      </c>
      <c r="I125" s="6" t="n">
        <v>760</v>
      </c>
      <c r="J125" s="6" t="n">
        <v>800</v>
      </c>
      <c r="K125" s="6" t="s">
        <v>1739</v>
      </c>
    </row>
    <row r="126" customFormat="false" ht="15" hidden="false" customHeight="true" outlineLevel="0" collapsed="false">
      <c r="A126" s="6" t="s">
        <v>844</v>
      </c>
      <c r="B126" s="6" t="n">
        <v>1</v>
      </c>
      <c r="C126" s="6" t="s">
        <v>403</v>
      </c>
      <c r="D126" s="8" t="n">
        <v>9348</v>
      </c>
      <c r="E126" s="8" t="n">
        <v>2586</v>
      </c>
      <c r="F126" s="8" t="n">
        <v>0</v>
      </c>
      <c r="G126" s="8" t="n">
        <v>0</v>
      </c>
      <c r="H126" s="6" t="n">
        <v>1300</v>
      </c>
      <c r="I126" s="6" t="n">
        <v>450</v>
      </c>
      <c r="J126" s="6" t="n">
        <v>450</v>
      </c>
      <c r="K126" s="6" t="s">
        <v>1740</v>
      </c>
    </row>
    <row r="127" customFormat="false" ht="15" hidden="false" customHeight="true" outlineLevel="0" collapsed="false">
      <c r="A127" s="6" t="s">
        <v>846</v>
      </c>
      <c r="B127" s="6" t="n">
        <v>1</v>
      </c>
      <c r="C127" s="6" t="s">
        <v>850</v>
      </c>
      <c r="D127" s="8" t="n">
        <v>9350</v>
      </c>
      <c r="E127" s="8" t="n">
        <v>4170</v>
      </c>
      <c r="F127" s="8" t="n">
        <v>0</v>
      </c>
      <c r="G127" s="8" t="n">
        <v>180</v>
      </c>
      <c r="H127" s="6" t="n">
        <v>1500</v>
      </c>
      <c r="I127" s="6" t="n">
        <v>350</v>
      </c>
      <c r="J127" s="6" t="n">
        <v>450</v>
      </c>
      <c r="K127" s="6" t="s">
        <v>1741</v>
      </c>
    </row>
    <row r="128" customFormat="false" ht="15" hidden="false" customHeight="true" outlineLevel="0" collapsed="false">
      <c r="A128" s="6" t="s">
        <v>852</v>
      </c>
      <c r="B128" s="6" t="n">
        <v>1</v>
      </c>
      <c r="C128" s="6" t="s">
        <v>142</v>
      </c>
      <c r="D128" s="8" t="n">
        <v>7400</v>
      </c>
      <c r="E128" s="8" t="n">
        <v>1350</v>
      </c>
      <c r="F128" s="8" t="n">
        <v>0</v>
      </c>
      <c r="G128" s="8" t="n">
        <v>0</v>
      </c>
      <c r="H128" s="6" t="n">
        <v>450</v>
      </c>
      <c r="I128" s="6" t="n">
        <v>450</v>
      </c>
      <c r="J128" s="6" t="n">
        <v>420</v>
      </c>
      <c r="K128" s="6" t="s">
        <v>1742</v>
      </c>
    </row>
    <row r="129" customFormat="false" ht="15" hidden="false" customHeight="true" outlineLevel="0" collapsed="false">
      <c r="A129" s="6" t="s">
        <v>856</v>
      </c>
      <c r="B129" s="6" t="n">
        <v>1</v>
      </c>
      <c r="C129" s="6" t="s">
        <v>859</v>
      </c>
      <c r="D129" s="8" t="n">
        <v>6900</v>
      </c>
      <c r="E129" s="8" t="n">
        <v>2850</v>
      </c>
      <c r="F129" s="8" t="n">
        <v>0</v>
      </c>
      <c r="G129" s="8" t="n">
        <v>0</v>
      </c>
      <c r="H129" s="6" t="n">
        <v>500</v>
      </c>
      <c r="I129" s="6" t="n">
        <v>500</v>
      </c>
      <c r="J129" s="6" t="n">
        <v>1500</v>
      </c>
      <c r="K129" s="6" t="s">
        <v>1743</v>
      </c>
    </row>
    <row r="130" customFormat="false" ht="15" hidden="false" customHeight="true" outlineLevel="0" collapsed="false">
      <c r="A130" s="6" t="s">
        <v>861</v>
      </c>
      <c r="B130" s="6" t="n">
        <v>1</v>
      </c>
      <c r="C130" s="6" t="s">
        <v>864</v>
      </c>
      <c r="D130" s="8" t="n">
        <v>10905</v>
      </c>
      <c r="E130" s="8" t="n">
        <v>1700</v>
      </c>
      <c r="F130" s="8" t="n">
        <v>900</v>
      </c>
      <c r="G130" s="8" t="n">
        <v>90</v>
      </c>
      <c r="H130" s="6" t="n">
        <v>1000</v>
      </c>
      <c r="I130" s="6" t="n">
        <v>40</v>
      </c>
      <c r="J130" s="6" t="n">
        <v>1200</v>
      </c>
      <c r="K130" s="6" t="s">
        <v>1744</v>
      </c>
    </row>
    <row r="131" customFormat="false" ht="15" hidden="false" customHeight="true" outlineLevel="0" collapsed="false">
      <c r="A131" s="6" t="s">
        <v>866</v>
      </c>
      <c r="B131" s="6" t="n">
        <v>1</v>
      </c>
      <c r="C131" s="6" t="s">
        <v>869</v>
      </c>
      <c r="D131" s="8" t="n">
        <v>6630</v>
      </c>
      <c r="E131" s="8" t="n">
        <v>1900</v>
      </c>
      <c r="F131" s="8" t="n">
        <v>1150</v>
      </c>
      <c r="G131" s="8" t="n">
        <v>270</v>
      </c>
      <c r="H131" s="6" t="n">
        <v>1100</v>
      </c>
      <c r="I131" s="6" t="n">
        <v>40</v>
      </c>
      <c r="J131" s="6" t="n">
        <v>700</v>
      </c>
      <c r="K131" s="6" t="s">
        <v>1745</v>
      </c>
    </row>
    <row r="132" customFormat="false" ht="15" hidden="false" customHeight="true" outlineLevel="0" collapsed="false">
      <c r="A132" s="6" t="s">
        <v>871</v>
      </c>
      <c r="B132" s="6" t="n">
        <v>1</v>
      </c>
      <c r="C132" s="6" t="s">
        <v>174</v>
      </c>
      <c r="D132" s="8" t="n">
        <v>6835</v>
      </c>
      <c r="E132" s="8" t="n">
        <v>1600</v>
      </c>
      <c r="F132" s="8" t="s">
        <v>170</v>
      </c>
      <c r="G132" s="8" t="n">
        <v>0</v>
      </c>
      <c r="H132" s="6" t="n">
        <v>250</v>
      </c>
      <c r="I132" s="6" t="n">
        <v>250</v>
      </c>
      <c r="J132" s="6" t="n">
        <v>150</v>
      </c>
      <c r="K132" s="6" t="s">
        <v>1746</v>
      </c>
    </row>
    <row r="133" customFormat="false" ht="15" hidden="false" customHeight="true" outlineLevel="0" collapsed="false">
      <c r="A133" s="6" t="s">
        <v>876</v>
      </c>
      <c r="B133" s="6" t="n">
        <v>1</v>
      </c>
      <c r="C133" s="6" t="s">
        <v>174</v>
      </c>
      <c r="D133" s="8" t="n">
        <v>6835</v>
      </c>
      <c r="E133" s="8" t="n">
        <v>2300</v>
      </c>
      <c r="F133" s="8" t="s">
        <v>170</v>
      </c>
      <c r="G133" s="8" t="n">
        <v>0</v>
      </c>
      <c r="H133" s="6" t="n">
        <v>250</v>
      </c>
      <c r="I133" s="6" t="n">
        <v>250</v>
      </c>
      <c r="J133" s="6" t="n">
        <v>150</v>
      </c>
      <c r="K133" s="6" t="s">
        <v>1747</v>
      </c>
    </row>
    <row r="134" customFormat="false" ht="15" hidden="false" customHeight="true" outlineLevel="0" collapsed="false">
      <c r="A134" s="6" t="s">
        <v>881</v>
      </c>
      <c r="B134" s="6" t="n">
        <v>1</v>
      </c>
      <c r="C134" s="6" t="s">
        <v>174</v>
      </c>
      <c r="D134" s="8" t="n">
        <v>9900</v>
      </c>
      <c r="E134" s="8" t="n">
        <v>4170</v>
      </c>
      <c r="F134" s="8" t="s">
        <v>170</v>
      </c>
      <c r="G134" s="8" t="n">
        <v>0</v>
      </c>
      <c r="H134" s="6" t="n">
        <v>250</v>
      </c>
      <c r="I134" s="6" t="n">
        <v>250</v>
      </c>
      <c r="J134" s="6" t="n">
        <v>150</v>
      </c>
      <c r="K134" s="6" t="s">
        <v>1748</v>
      </c>
    </row>
    <row r="135" customFormat="false" ht="15" hidden="false" customHeight="true" outlineLevel="0" collapsed="false">
      <c r="A135" s="6" t="s">
        <v>885</v>
      </c>
      <c r="B135" s="6" t="n">
        <v>1</v>
      </c>
      <c r="C135" s="6" t="s">
        <v>889</v>
      </c>
      <c r="D135" s="8" t="n">
        <v>9350</v>
      </c>
      <c r="E135" s="8" t="n">
        <v>280</v>
      </c>
      <c r="F135" s="8" t="n">
        <v>0</v>
      </c>
      <c r="G135" s="8" t="n">
        <v>0</v>
      </c>
      <c r="H135" s="6" t="n">
        <v>2900</v>
      </c>
      <c r="I135" s="6" t="n">
        <v>100</v>
      </c>
      <c r="J135" s="6" t="n">
        <v>2700</v>
      </c>
      <c r="K135" s="6" t="s">
        <v>1749</v>
      </c>
    </row>
    <row r="136" customFormat="false" ht="15" hidden="false" customHeight="true" outlineLevel="0" collapsed="false">
      <c r="A136" s="6" t="s">
        <v>891</v>
      </c>
      <c r="B136" s="6" t="n">
        <v>1</v>
      </c>
      <c r="C136" s="6" t="s">
        <v>896</v>
      </c>
      <c r="D136" s="8" t="n">
        <v>8140</v>
      </c>
      <c r="E136" s="8" t="n">
        <v>350</v>
      </c>
      <c r="F136" s="8" t="n">
        <v>0</v>
      </c>
      <c r="G136" s="8" t="n">
        <v>0</v>
      </c>
      <c r="H136" s="6" t="n">
        <v>480</v>
      </c>
      <c r="I136" s="6" t="n">
        <v>40</v>
      </c>
      <c r="J136" s="6" t="n">
        <v>2700</v>
      </c>
      <c r="K136" s="6" t="s">
        <v>1750</v>
      </c>
    </row>
    <row r="137" customFormat="false" ht="15" hidden="false" customHeight="true" outlineLevel="0" collapsed="false">
      <c r="A137" s="6" t="s">
        <v>891</v>
      </c>
      <c r="B137" s="6" t="n">
        <v>2</v>
      </c>
      <c r="C137" s="6" t="s">
        <v>896</v>
      </c>
      <c r="D137" s="8" t="n">
        <v>10560</v>
      </c>
      <c r="E137" s="8" t="n">
        <v>350</v>
      </c>
      <c r="F137" s="8" t="n">
        <v>0</v>
      </c>
      <c r="G137" s="8" t="n">
        <v>0</v>
      </c>
      <c r="H137" s="6" t="n">
        <v>480</v>
      </c>
      <c r="I137" s="6" t="n">
        <v>40</v>
      </c>
      <c r="J137" s="6" t="n">
        <v>2700</v>
      </c>
      <c r="K137" s="6" t="s">
        <v>1751</v>
      </c>
    </row>
    <row r="138" customFormat="false" ht="15" hidden="false" customHeight="true" outlineLevel="0" collapsed="false">
      <c r="A138" s="6" t="s">
        <v>898</v>
      </c>
      <c r="B138" s="6" t="n">
        <v>1</v>
      </c>
      <c r="C138" s="6" t="s">
        <v>901</v>
      </c>
      <c r="D138" s="8" t="n">
        <v>9350</v>
      </c>
      <c r="E138" s="8" t="n">
        <v>2300</v>
      </c>
      <c r="F138" s="8" t="n">
        <v>2950</v>
      </c>
      <c r="G138" s="8" t="n">
        <v>0</v>
      </c>
      <c r="H138" s="6" t="n">
        <v>3000</v>
      </c>
      <c r="I138" s="6" t="n">
        <v>2700</v>
      </c>
      <c r="J138" s="6" t="n">
        <v>200</v>
      </c>
      <c r="K138" s="6" t="s">
        <v>1752</v>
      </c>
    </row>
    <row r="139" customFormat="false" ht="15" hidden="false" customHeight="true" outlineLevel="0" collapsed="false">
      <c r="A139" s="6" t="s">
        <v>903</v>
      </c>
      <c r="B139" s="6" t="n">
        <v>1</v>
      </c>
      <c r="C139" s="6" t="s">
        <v>905</v>
      </c>
      <c r="D139" s="8" t="n">
        <v>8768</v>
      </c>
      <c r="E139" s="8" t="n">
        <v>2288</v>
      </c>
      <c r="F139" s="8" t="n">
        <v>0</v>
      </c>
      <c r="G139" s="8" t="n">
        <v>0</v>
      </c>
      <c r="H139" s="6" t="n">
        <v>4315</v>
      </c>
      <c r="I139" s="6" t="n">
        <v>4115</v>
      </c>
      <c r="J139" s="6" t="n">
        <v>15</v>
      </c>
      <c r="K139" s="6" t="s">
        <v>1753</v>
      </c>
    </row>
    <row r="140" customFormat="false" ht="15" hidden="false" customHeight="true" outlineLevel="0" collapsed="false">
      <c r="A140" s="6" t="s">
        <v>907</v>
      </c>
      <c r="B140" s="6" t="n">
        <v>1</v>
      </c>
      <c r="C140" s="6" t="s">
        <v>910</v>
      </c>
      <c r="D140" s="8" t="n">
        <v>8300</v>
      </c>
      <c r="E140" s="8" t="n">
        <v>1600</v>
      </c>
      <c r="F140" s="8" t="n">
        <v>2750</v>
      </c>
      <c r="G140" s="8" t="n">
        <v>0</v>
      </c>
      <c r="H140" s="6" t="n">
        <v>1400</v>
      </c>
      <c r="I140" s="6" t="n">
        <v>40</v>
      </c>
      <c r="J140" s="6" t="n">
        <v>40</v>
      </c>
      <c r="K140" s="6" t="s">
        <v>1754</v>
      </c>
    </row>
    <row r="141" customFormat="false" ht="15" hidden="false" customHeight="true" outlineLevel="0" collapsed="false">
      <c r="A141" s="6" t="s">
        <v>907</v>
      </c>
      <c r="B141" s="6" t="n">
        <v>2</v>
      </c>
      <c r="C141" s="6" t="s">
        <v>910</v>
      </c>
      <c r="D141" s="8" t="n">
        <v>10400</v>
      </c>
      <c r="E141" s="8" t="n">
        <v>1600</v>
      </c>
      <c r="F141" s="8" t="n">
        <v>2750</v>
      </c>
      <c r="G141" s="8" t="n">
        <v>0</v>
      </c>
      <c r="H141" s="6" t="n">
        <v>1400</v>
      </c>
      <c r="I141" s="6" t="n">
        <v>40</v>
      </c>
      <c r="J141" s="6" t="n">
        <v>40</v>
      </c>
      <c r="K141" s="6" t="s">
        <v>1755</v>
      </c>
    </row>
    <row r="142" customFormat="false" ht="15" hidden="false" customHeight="true" outlineLevel="0" collapsed="false">
      <c r="A142" s="6" t="s">
        <v>912</v>
      </c>
      <c r="B142" s="6" t="n">
        <v>1</v>
      </c>
      <c r="C142" s="6" t="s">
        <v>509</v>
      </c>
      <c r="D142" s="8" t="n">
        <v>8158</v>
      </c>
      <c r="E142" s="8" t="n">
        <v>555</v>
      </c>
      <c r="F142" s="8" t="n">
        <v>2750</v>
      </c>
      <c r="G142" s="8" t="n">
        <v>0</v>
      </c>
      <c r="H142" s="6" t="n">
        <v>260</v>
      </c>
      <c r="I142" s="6" t="n">
        <v>260</v>
      </c>
      <c r="J142" s="6" t="n">
        <v>350</v>
      </c>
      <c r="K142" s="6" t="s">
        <v>1756</v>
      </c>
    </row>
    <row r="143" customFormat="false" ht="15" hidden="false" customHeight="true" outlineLevel="0" collapsed="false">
      <c r="A143" s="6" t="s">
        <v>912</v>
      </c>
      <c r="B143" s="6" t="n">
        <v>2</v>
      </c>
      <c r="C143" s="6" t="s">
        <v>509</v>
      </c>
      <c r="D143" s="8" t="n">
        <v>10537</v>
      </c>
      <c r="E143" s="8" t="n">
        <v>555</v>
      </c>
      <c r="F143" s="8" t="n">
        <v>2750</v>
      </c>
      <c r="G143" s="8" t="n">
        <v>0</v>
      </c>
      <c r="H143" s="6" t="n">
        <v>260</v>
      </c>
      <c r="I143" s="6" t="n">
        <v>260</v>
      </c>
      <c r="J143" s="6" t="n">
        <v>350</v>
      </c>
      <c r="K143" s="6" t="s">
        <v>1757</v>
      </c>
    </row>
    <row r="144" customFormat="false" ht="15" hidden="false" customHeight="true" outlineLevel="0" collapsed="false">
      <c r="A144" s="6" t="s">
        <v>916</v>
      </c>
      <c r="B144" s="6" t="n">
        <v>1</v>
      </c>
      <c r="C144" s="6" t="s">
        <v>514</v>
      </c>
      <c r="D144" s="8" t="n">
        <v>9348</v>
      </c>
      <c r="E144" s="8" t="n">
        <v>1320</v>
      </c>
      <c r="F144" s="8" t="s">
        <v>170</v>
      </c>
      <c r="G144" s="8" t="n">
        <v>0</v>
      </c>
      <c r="H144" s="6" t="n">
        <v>2021</v>
      </c>
      <c r="I144" s="6" t="n">
        <v>1869</v>
      </c>
      <c r="J144" s="6" t="n">
        <v>10</v>
      </c>
      <c r="K144" s="6" t="s">
        <v>1758</v>
      </c>
    </row>
    <row r="145" customFormat="false" ht="15" hidden="false" customHeight="true" outlineLevel="0" collapsed="false">
      <c r="A145" s="6" t="s">
        <v>919</v>
      </c>
      <c r="B145" s="6" t="n">
        <v>1</v>
      </c>
      <c r="C145" s="6" t="s">
        <v>528</v>
      </c>
      <c r="D145" s="8" t="n">
        <v>9348</v>
      </c>
      <c r="E145" s="8" t="n">
        <v>2900</v>
      </c>
      <c r="F145" s="8" t="n">
        <v>2750</v>
      </c>
      <c r="G145" s="8" t="n">
        <v>0</v>
      </c>
      <c r="H145" s="6" t="n">
        <v>1200</v>
      </c>
      <c r="I145" s="6" t="n">
        <v>1200</v>
      </c>
      <c r="J145" s="6" t="n">
        <v>400</v>
      </c>
      <c r="K145" s="6" t="s">
        <v>1759</v>
      </c>
    </row>
    <row r="146" customFormat="false" ht="15" hidden="false" customHeight="true" outlineLevel="0" collapsed="false">
      <c r="A146" s="6" t="s">
        <v>924</v>
      </c>
      <c r="B146" s="6" t="n">
        <v>1</v>
      </c>
      <c r="C146" s="6" t="s">
        <v>927</v>
      </c>
      <c r="D146" s="8" t="n">
        <v>7260</v>
      </c>
      <c r="E146" s="8" t="n">
        <v>250</v>
      </c>
      <c r="F146" s="8" t="n">
        <v>0</v>
      </c>
      <c r="G146" s="8" t="n">
        <v>0</v>
      </c>
      <c r="H146" s="6" t="n">
        <v>995</v>
      </c>
      <c r="I146" s="6" t="n">
        <v>40</v>
      </c>
      <c r="J146" s="6" t="n">
        <v>2700</v>
      </c>
      <c r="K146" s="6" t="s">
        <v>1760</v>
      </c>
    </row>
    <row r="147" customFormat="false" ht="15" hidden="false" customHeight="true" outlineLevel="0" collapsed="false">
      <c r="A147" s="6" t="s">
        <v>929</v>
      </c>
      <c r="B147" s="6" t="n">
        <v>1</v>
      </c>
      <c r="C147" s="6" t="s">
        <v>540</v>
      </c>
      <c r="D147" s="8" t="n">
        <v>9348</v>
      </c>
      <c r="E147" s="8" t="n">
        <v>2400</v>
      </c>
      <c r="F147" s="8" t="n">
        <v>0</v>
      </c>
      <c r="G147" s="8" t="n">
        <v>0</v>
      </c>
      <c r="H147" s="6" t="n">
        <v>3000</v>
      </c>
      <c r="I147" s="6" t="n">
        <v>2400</v>
      </c>
      <c r="J147" s="6" t="n">
        <v>12</v>
      </c>
      <c r="K147" s="6" t="s">
        <v>1761</v>
      </c>
    </row>
    <row r="148" customFormat="false" ht="15" hidden="false" customHeight="true" outlineLevel="0" collapsed="false">
      <c r="A148" s="6" t="s">
        <v>931</v>
      </c>
      <c r="B148" s="6" t="n">
        <v>1</v>
      </c>
      <c r="C148" s="6" t="s">
        <v>307</v>
      </c>
      <c r="D148" s="8" t="n">
        <v>9348</v>
      </c>
      <c r="E148" s="8" t="n">
        <v>800</v>
      </c>
      <c r="F148" s="8" t="s">
        <v>170</v>
      </c>
      <c r="G148" s="8" t="n">
        <v>0</v>
      </c>
      <c r="H148" s="6" t="n">
        <v>250</v>
      </c>
      <c r="I148" s="6" t="n">
        <v>250</v>
      </c>
      <c r="J148" s="6" t="n">
        <v>150</v>
      </c>
      <c r="K148" s="6" t="s">
        <v>1762</v>
      </c>
    </row>
    <row r="149" customFormat="false" ht="15" hidden="false" customHeight="true" outlineLevel="0" collapsed="false">
      <c r="A149" s="6" t="s">
        <v>936</v>
      </c>
      <c r="B149" s="6" t="n">
        <v>1</v>
      </c>
      <c r="C149" s="6" t="s">
        <v>940</v>
      </c>
      <c r="D149" s="8" t="n">
        <v>11942</v>
      </c>
      <c r="E149" s="8" t="n">
        <v>4000</v>
      </c>
      <c r="F149" s="8" t="n">
        <v>0</v>
      </c>
      <c r="G149" s="8" t="n">
        <v>0</v>
      </c>
      <c r="H149" s="6" t="n">
        <v>2035</v>
      </c>
      <c r="I149" s="6" t="n">
        <v>600</v>
      </c>
      <c r="J149" s="6" t="n">
        <v>2700</v>
      </c>
      <c r="K149" s="6" t="s">
        <v>1763</v>
      </c>
    </row>
    <row r="150" customFormat="false" ht="15" hidden="false" customHeight="true" outlineLevel="0" collapsed="false">
      <c r="A150" s="6" t="s">
        <v>936</v>
      </c>
      <c r="B150" s="6" t="n">
        <v>2</v>
      </c>
      <c r="C150" s="6" t="s">
        <v>940</v>
      </c>
      <c r="D150" s="8" t="n">
        <v>12660</v>
      </c>
      <c r="E150" s="8" t="n">
        <v>3190</v>
      </c>
      <c r="F150" s="8" t="n">
        <v>0</v>
      </c>
      <c r="G150" s="8" t="n">
        <v>90</v>
      </c>
      <c r="H150" s="6" t="n">
        <v>1020</v>
      </c>
      <c r="I150" s="6" t="n">
        <v>600</v>
      </c>
      <c r="J150" s="6" t="n">
        <v>2700</v>
      </c>
      <c r="K150" s="6" t="s">
        <v>1764</v>
      </c>
    </row>
    <row r="151" customFormat="false" ht="15" hidden="false" customHeight="true" outlineLevel="0" collapsed="false">
      <c r="A151" s="6" t="s">
        <v>942</v>
      </c>
      <c r="B151" s="6" t="n">
        <v>1</v>
      </c>
      <c r="C151" s="6" t="s">
        <v>572</v>
      </c>
      <c r="D151" s="8" t="n">
        <v>11900</v>
      </c>
      <c r="E151" s="8" t="n">
        <v>4000</v>
      </c>
      <c r="F151" s="8" t="s">
        <v>170</v>
      </c>
      <c r="G151" s="8" t="n">
        <v>0</v>
      </c>
      <c r="H151" s="6" t="n">
        <v>250</v>
      </c>
      <c r="I151" s="6" t="n">
        <v>250</v>
      </c>
      <c r="J151" s="6" t="n">
        <v>0</v>
      </c>
      <c r="K151" s="6" t="s">
        <v>1765</v>
      </c>
    </row>
    <row r="152" customFormat="false" ht="15" hidden="false" customHeight="true" outlineLevel="0" collapsed="false">
      <c r="A152" s="6" t="s">
        <v>947</v>
      </c>
      <c r="B152" s="6" t="n">
        <v>1</v>
      </c>
      <c r="C152" s="6" t="s">
        <v>572</v>
      </c>
      <c r="D152" s="8" t="n">
        <v>12660</v>
      </c>
      <c r="E152" s="8" t="n">
        <v>3200</v>
      </c>
      <c r="F152" s="8" t="s">
        <v>170</v>
      </c>
      <c r="G152" s="8" t="n">
        <v>0</v>
      </c>
      <c r="H152" s="6" t="n">
        <v>250</v>
      </c>
      <c r="I152" s="6" t="n">
        <v>250</v>
      </c>
      <c r="J152" s="6" t="n">
        <v>0</v>
      </c>
      <c r="K152" s="6" t="s">
        <v>1766</v>
      </c>
    </row>
    <row r="153" customFormat="false" ht="15" hidden="false" customHeight="true" outlineLevel="0" collapsed="false">
      <c r="A153" s="6" t="s">
        <v>951</v>
      </c>
      <c r="B153" s="6" t="n">
        <v>1</v>
      </c>
      <c r="C153" s="6" t="s">
        <v>572</v>
      </c>
      <c r="D153" s="8" t="n">
        <v>12660</v>
      </c>
      <c r="E153" s="8" t="n">
        <v>2900</v>
      </c>
      <c r="F153" s="8" t="s">
        <v>170</v>
      </c>
      <c r="G153" s="8" t="n">
        <v>0</v>
      </c>
      <c r="H153" s="6" t="n">
        <v>250</v>
      </c>
      <c r="I153" s="6" t="n">
        <v>250</v>
      </c>
      <c r="J153" s="6" t="n">
        <v>0</v>
      </c>
      <c r="K153" s="6" t="s">
        <v>1767</v>
      </c>
    </row>
    <row r="154" customFormat="false" ht="15" hidden="false" customHeight="true" outlineLevel="0" collapsed="false">
      <c r="A154" s="6" t="s">
        <v>956</v>
      </c>
      <c r="B154" s="6" t="n">
        <v>1</v>
      </c>
      <c r="C154" s="6" t="s">
        <v>600</v>
      </c>
      <c r="D154" s="8" t="n">
        <v>11500</v>
      </c>
      <c r="E154" s="8" t="n">
        <v>3050</v>
      </c>
      <c r="F154" s="8" t="n">
        <v>0</v>
      </c>
      <c r="G154" s="8" t="n">
        <v>0</v>
      </c>
      <c r="H154" s="6" t="n">
        <v>400</v>
      </c>
      <c r="I154" s="6" t="n">
        <v>400</v>
      </c>
      <c r="J154" s="6" t="n">
        <v>420</v>
      </c>
      <c r="K154" s="6" t="s">
        <v>1768</v>
      </c>
    </row>
    <row r="155" customFormat="false" ht="15" hidden="false" customHeight="true" outlineLevel="0" collapsed="false">
      <c r="A155" s="6" t="s">
        <v>958</v>
      </c>
      <c r="B155" s="6" t="n">
        <v>1</v>
      </c>
      <c r="C155" s="6" t="s">
        <v>174</v>
      </c>
      <c r="D155" s="8" t="n">
        <v>11100</v>
      </c>
      <c r="E155" s="8" t="n">
        <v>3600</v>
      </c>
      <c r="F155" s="8" t="s">
        <v>170</v>
      </c>
      <c r="G155" s="8" t="n">
        <v>0</v>
      </c>
      <c r="H155" s="6" t="n">
        <v>250</v>
      </c>
      <c r="I155" s="6" t="n">
        <v>250</v>
      </c>
      <c r="J155" s="6" t="n">
        <v>150</v>
      </c>
      <c r="K155" s="6" t="s">
        <v>1769</v>
      </c>
    </row>
    <row r="156" customFormat="false" ht="15" hidden="false" customHeight="true" outlineLevel="0" collapsed="false">
      <c r="A156" s="6" t="s">
        <v>963</v>
      </c>
      <c r="B156" s="6" t="n">
        <v>1</v>
      </c>
      <c r="C156" s="6" t="s">
        <v>572</v>
      </c>
      <c r="D156" s="8" t="n">
        <v>12300</v>
      </c>
      <c r="E156" s="8" t="n">
        <v>4150</v>
      </c>
      <c r="F156" s="8" t="s">
        <v>170</v>
      </c>
      <c r="G156" s="8" t="n">
        <v>0</v>
      </c>
      <c r="H156" s="6" t="n">
        <v>250</v>
      </c>
      <c r="I156" s="6" t="n">
        <v>250</v>
      </c>
      <c r="J156" s="6" t="n">
        <v>0</v>
      </c>
      <c r="K156" s="6" t="s">
        <v>1770</v>
      </c>
    </row>
    <row r="157" customFormat="false" ht="15" hidden="false" customHeight="true" outlineLevel="0" collapsed="false">
      <c r="A157" s="6" t="s">
        <v>967</v>
      </c>
      <c r="B157" s="6" t="n">
        <v>1</v>
      </c>
      <c r="C157" s="6" t="s">
        <v>969</v>
      </c>
      <c r="D157" s="8" t="n">
        <v>12150</v>
      </c>
      <c r="E157" s="8" t="n">
        <v>2652</v>
      </c>
      <c r="F157" s="8" t="n">
        <v>1250</v>
      </c>
      <c r="G157" s="8" t="n">
        <v>0</v>
      </c>
      <c r="H157" s="6" t="n">
        <v>400</v>
      </c>
      <c r="I157" s="6" t="n">
        <v>40</v>
      </c>
      <c r="J157" s="6" t="n">
        <v>500</v>
      </c>
      <c r="K157" s="6" t="s">
        <v>1771</v>
      </c>
    </row>
    <row r="158" customFormat="false" ht="15" hidden="false" customHeight="true" outlineLevel="0" collapsed="false">
      <c r="A158" s="6" t="s">
        <v>971</v>
      </c>
      <c r="B158" s="6" t="n">
        <v>1</v>
      </c>
      <c r="C158" s="6" t="s">
        <v>973</v>
      </c>
      <c r="D158" s="8" t="n">
        <v>11965</v>
      </c>
      <c r="E158" s="8" t="n">
        <v>3488</v>
      </c>
      <c r="F158" s="8" t="n">
        <v>0</v>
      </c>
      <c r="G158" s="8" t="n">
        <v>0</v>
      </c>
      <c r="H158" s="6" t="n">
        <v>2080</v>
      </c>
      <c r="I158" s="6" t="n">
        <v>1713</v>
      </c>
      <c r="J158" s="6" t="n">
        <v>0</v>
      </c>
      <c r="K158" s="6" t="s">
        <v>1772</v>
      </c>
    </row>
    <row r="159" customFormat="false" ht="15" hidden="false" customHeight="true" outlineLevel="0" collapsed="false">
      <c r="A159" s="6" t="s">
        <v>975</v>
      </c>
      <c r="B159" s="6" t="n">
        <v>1</v>
      </c>
      <c r="C159" s="6" t="s">
        <v>572</v>
      </c>
      <c r="D159" s="8" t="n">
        <v>12360</v>
      </c>
      <c r="E159" s="8" t="n">
        <v>3350</v>
      </c>
      <c r="F159" s="8" t="s">
        <v>170</v>
      </c>
      <c r="G159" s="8" t="n">
        <v>0</v>
      </c>
      <c r="H159" s="6" t="n">
        <v>250</v>
      </c>
      <c r="I159" s="6" t="n">
        <v>250</v>
      </c>
      <c r="J159" s="6" t="n">
        <v>0</v>
      </c>
      <c r="K159" s="6" t="s">
        <v>1773</v>
      </c>
    </row>
    <row r="160" customFormat="false" ht="15" hidden="false" customHeight="true" outlineLevel="0" collapsed="false">
      <c r="A160" s="6" t="s">
        <v>977</v>
      </c>
      <c r="B160" s="6" t="n">
        <v>1</v>
      </c>
      <c r="C160" s="6" t="s">
        <v>982</v>
      </c>
      <c r="D160" s="8" t="n">
        <v>11965</v>
      </c>
      <c r="E160" s="8" t="n">
        <v>3488</v>
      </c>
      <c r="F160" s="8" t="n">
        <v>0</v>
      </c>
      <c r="G160" s="8" t="n">
        <v>0</v>
      </c>
      <c r="H160" s="6" t="n">
        <v>2080</v>
      </c>
      <c r="I160" s="6" t="n">
        <v>1713</v>
      </c>
      <c r="J160" s="6" t="n">
        <v>15</v>
      </c>
      <c r="K160" s="6" t="s">
        <v>1774</v>
      </c>
    </row>
    <row r="161" customFormat="false" ht="15" hidden="false" customHeight="true" outlineLevel="0" collapsed="false">
      <c r="A161" s="6" t="s">
        <v>984</v>
      </c>
      <c r="B161" s="6" t="n">
        <v>1</v>
      </c>
      <c r="C161" s="6" t="s">
        <v>987</v>
      </c>
      <c r="D161" s="8" t="n">
        <v>11950</v>
      </c>
      <c r="E161" s="8" t="n">
        <v>3690</v>
      </c>
      <c r="F161" s="8" t="s">
        <v>170</v>
      </c>
      <c r="G161" s="8" t="n">
        <v>0</v>
      </c>
      <c r="H161" s="6" t="n">
        <v>1900</v>
      </c>
      <c r="I161" s="6" t="n">
        <v>40</v>
      </c>
      <c r="J161" s="6" t="n">
        <v>10</v>
      </c>
      <c r="K161" s="6" t="s">
        <v>1775</v>
      </c>
    </row>
    <row r="162" customFormat="false" ht="15" hidden="false" customHeight="true" outlineLevel="0" collapsed="false">
      <c r="A162" s="6" t="s">
        <v>989</v>
      </c>
      <c r="B162" s="6" t="n">
        <v>1</v>
      </c>
      <c r="C162" s="6" t="s">
        <v>992</v>
      </c>
      <c r="D162" s="8" t="n">
        <v>11650</v>
      </c>
      <c r="E162" s="8" t="n">
        <v>3200</v>
      </c>
      <c r="F162" s="8" t="n">
        <v>2750</v>
      </c>
      <c r="G162" s="8" t="n">
        <v>0</v>
      </c>
      <c r="H162" s="6" t="n">
        <v>1300</v>
      </c>
      <c r="I162" s="6" t="n">
        <v>40</v>
      </c>
      <c r="J162" s="6" t="n">
        <v>40</v>
      </c>
      <c r="K162" s="6" t="s">
        <v>1776</v>
      </c>
    </row>
    <row r="163" customFormat="false" ht="15" hidden="false" customHeight="true" outlineLevel="0" collapsed="false">
      <c r="A163" s="6" t="s">
        <v>994</v>
      </c>
      <c r="B163" s="6" t="n">
        <v>1</v>
      </c>
      <c r="C163" s="6" t="s">
        <v>997</v>
      </c>
      <c r="D163" s="8" t="n">
        <v>11675</v>
      </c>
      <c r="E163" s="8" t="n">
        <v>3150</v>
      </c>
      <c r="F163" s="8" t="n">
        <v>0</v>
      </c>
      <c r="G163" s="8" t="n">
        <v>0</v>
      </c>
      <c r="H163" s="6" t="n">
        <v>1250</v>
      </c>
      <c r="I163" s="6" t="n">
        <v>700</v>
      </c>
      <c r="J163" s="6" t="n">
        <v>12</v>
      </c>
      <c r="K163" s="6" t="s">
        <v>1777</v>
      </c>
    </row>
    <row r="164" customFormat="false" ht="15" hidden="false" customHeight="true" outlineLevel="0" collapsed="false">
      <c r="A164" s="6" t="s">
        <v>999</v>
      </c>
      <c r="B164" s="6" t="n">
        <v>1</v>
      </c>
      <c r="C164" s="6" t="s">
        <v>1003</v>
      </c>
      <c r="D164" s="8" t="n">
        <v>12708</v>
      </c>
      <c r="E164" s="8" t="n">
        <v>850</v>
      </c>
      <c r="F164" s="8" t="n">
        <v>0</v>
      </c>
      <c r="G164" s="8" t="n">
        <v>90</v>
      </c>
      <c r="H164" s="6" t="n">
        <v>900</v>
      </c>
      <c r="I164" s="6" t="n">
        <v>505</v>
      </c>
      <c r="J164" s="6" t="n">
        <v>850</v>
      </c>
      <c r="K164" s="6" t="s">
        <v>1778</v>
      </c>
    </row>
    <row r="165" customFormat="false" ht="15" hidden="false" customHeight="true" outlineLevel="0" collapsed="false">
      <c r="A165" s="6" t="s">
        <v>1005</v>
      </c>
      <c r="B165" s="6" t="n">
        <v>1</v>
      </c>
      <c r="C165" s="6" t="s">
        <v>689</v>
      </c>
      <c r="D165" s="8" t="n">
        <v>12712</v>
      </c>
      <c r="E165" s="8" t="n">
        <v>1990</v>
      </c>
      <c r="F165" s="8" t="n">
        <v>0</v>
      </c>
      <c r="G165" s="8" t="n">
        <v>0</v>
      </c>
      <c r="H165" s="6" t="n">
        <v>495</v>
      </c>
      <c r="I165" s="6" t="n">
        <v>380</v>
      </c>
      <c r="J165" s="6" t="n">
        <v>400</v>
      </c>
      <c r="K165" s="6" t="s">
        <v>1779</v>
      </c>
    </row>
    <row r="166" customFormat="false" ht="15" hidden="false" customHeight="true" outlineLevel="0" collapsed="false">
      <c r="A166" s="6" t="s">
        <v>1010</v>
      </c>
      <c r="B166" s="6" t="n">
        <v>1</v>
      </c>
      <c r="C166" s="6" t="s">
        <v>1013</v>
      </c>
      <c r="D166" s="8" t="n">
        <v>11472</v>
      </c>
      <c r="E166" s="8" t="n">
        <v>752</v>
      </c>
      <c r="F166" s="8" t="n">
        <v>0</v>
      </c>
      <c r="G166" s="8" t="n">
        <v>90</v>
      </c>
      <c r="H166" s="6" t="n">
        <v>955</v>
      </c>
      <c r="I166" s="6" t="n">
        <v>855</v>
      </c>
      <c r="J166" s="6" t="n">
        <v>2100</v>
      </c>
      <c r="K166" s="6" t="s">
        <v>1780</v>
      </c>
    </row>
    <row r="167" customFormat="false" ht="15" hidden="false" customHeight="true" outlineLevel="0" collapsed="false">
      <c r="A167" s="6" t="s">
        <v>1015</v>
      </c>
      <c r="B167" s="6" t="n">
        <v>1</v>
      </c>
      <c r="C167" s="6" t="s">
        <v>743</v>
      </c>
      <c r="D167" s="8" t="n">
        <v>11065</v>
      </c>
      <c r="E167" s="8" t="n">
        <v>850</v>
      </c>
      <c r="F167" s="8" t="n">
        <v>0</v>
      </c>
      <c r="G167" s="8" t="n">
        <v>270</v>
      </c>
      <c r="H167" s="6" t="n">
        <v>300</v>
      </c>
      <c r="I167" s="6" t="n">
        <v>40</v>
      </c>
      <c r="J167" s="6" t="n">
        <v>400</v>
      </c>
      <c r="K167" s="6" t="s">
        <v>1781</v>
      </c>
    </row>
    <row r="168" customFormat="false" ht="15" hidden="false" customHeight="true" outlineLevel="0" collapsed="false">
      <c r="A168" s="6" t="s">
        <v>1020</v>
      </c>
      <c r="B168" s="6" t="n">
        <v>1</v>
      </c>
      <c r="C168" s="6" t="s">
        <v>730</v>
      </c>
      <c r="D168" s="8" t="n">
        <v>12940</v>
      </c>
      <c r="E168" s="8" t="n">
        <v>1990</v>
      </c>
      <c r="F168" s="8" t="n">
        <v>0</v>
      </c>
      <c r="G168" s="8" t="n">
        <v>90</v>
      </c>
      <c r="H168" s="6" t="n">
        <v>380</v>
      </c>
      <c r="I168" s="6" t="n">
        <v>40</v>
      </c>
      <c r="J168" s="6" t="n">
        <v>300</v>
      </c>
      <c r="K168" s="6" t="s">
        <v>1782</v>
      </c>
    </row>
    <row r="169" customFormat="false" ht="15" hidden="false" customHeight="true" outlineLevel="0" collapsed="false">
      <c r="A169" s="6" t="s">
        <v>1023</v>
      </c>
      <c r="B169" s="6" t="n">
        <v>1</v>
      </c>
      <c r="C169" s="6" t="s">
        <v>1026</v>
      </c>
      <c r="D169" s="8" t="n">
        <v>12940</v>
      </c>
      <c r="E169" s="8" t="n">
        <v>850</v>
      </c>
      <c r="F169" s="8" t="n">
        <v>1050</v>
      </c>
      <c r="G169" s="8" t="n">
        <v>90</v>
      </c>
      <c r="H169" s="6" t="n">
        <v>800</v>
      </c>
      <c r="I169" s="6" t="n">
        <v>40</v>
      </c>
      <c r="J169" s="6" t="n">
        <v>900</v>
      </c>
      <c r="K169" s="6" t="s">
        <v>1783</v>
      </c>
    </row>
    <row r="170" customFormat="false" ht="15" hidden="false" customHeight="true" outlineLevel="0" collapsed="false">
      <c r="A170" s="6" t="s">
        <v>1028</v>
      </c>
      <c r="B170" s="6" t="n">
        <v>1</v>
      </c>
      <c r="C170" s="6" t="s">
        <v>174</v>
      </c>
      <c r="D170" s="8" t="n">
        <v>12700</v>
      </c>
      <c r="E170" s="8" t="n">
        <v>1250</v>
      </c>
      <c r="F170" s="8" t="s">
        <v>170</v>
      </c>
      <c r="G170" s="8" t="n">
        <v>0</v>
      </c>
      <c r="H170" s="6" t="n">
        <v>250</v>
      </c>
      <c r="I170" s="6" t="n">
        <v>250</v>
      </c>
      <c r="J170" s="6" t="n">
        <v>150</v>
      </c>
      <c r="K170" s="6" t="s">
        <v>1784</v>
      </c>
    </row>
    <row r="171" customFormat="false" ht="15" hidden="false" customHeight="true" outlineLevel="0" collapsed="false">
      <c r="A171" s="6" t="s">
        <v>1033</v>
      </c>
      <c r="B171" s="6" t="n">
        <v>1</v>
      </c>
      <c r="C171" s="6" t="s">
        <v>1036</v>
      </c>
      <c r="D171" s="8" t="n">
        <v>11300</v>
      </c>
      <c r="E171" s="8" t="n">
        <v>2300</v>
      </c>
      <c r="F171" s="8" t="n">
        <v>0</v>
      </c>
      <c r="G171" s="8" t="n">
        <v>0</v>
      </c>
      <c r="H171" s="6" t="n">
        <v>250</v>
      </c>
      <c r="I171" s="6" t="n">
        <v>250</v>
      </c>
      <c r="J171" s="6" t="n">
        <v>600</v>
      </c>
      <c r="K171" s="6" t="s">
        <v>1785</v>
      </c>
    </row>
    <row r="172" customFormat="false" ht="15" hidden="false" customHeight="true" outlineLevel="0" collapsed="false">
      <c r="A172" s="6" t="s">
        <v>1038</v>
      </c>
      <c r="B172" s="6" t="n">
        <v>1</v>
      </c>
      <c r="C172" s="6" t="s">
        <v>1042</v>
      </c>
      <c r="D172" s="8" t="n">
        <v>12002</v>
      </c>
      <c r="E172" s="8" t="n">
        <v>1431</v>
      </c>
      <c r="F172" s="8" t="n">
        <v>0</v>
      </c>
      <c r="G172" s="8" t="n">
        <v>0</v>
      </c>
      <c r="H172" s="6" t="n">
        <v>2402</v>
      </c>
      <c r="I172" s="6" t="n">
        <v>2005</v>
      </c>
      <c r="J172" s="6" t="n">
        <v>0</v>
      </c>
      <c r="K172" s="6" t="s">
        <v>1786</v>
      </c>
    </row>
    <row r="173" customFormat="false" ht="15" hidden="false" customHeight="true" outlineLevel="0" collapsed="false">
      <c r="A173" s="6" t="s">
        <v>1044</v>
      </c>
      <c r="B173" s="6" t="n">
        <v>1</v>
      </c>
      <c r="C173" s="6" t="s">
        <v>1047</v>
      </c>
      <c r="D173" s="8" t="n">
        <v>11065</v>
      </c>
      <c r="E173" s="8" t="n">
        <v>1100</v>
      </c>
      <c r="F173" s="8" t="n">
        <v>0</v>
      </c>
      <c r="G173" s="8" t="n">
        <v>270</v>
      </c>
      <c r="H173" s="6" t="n">
        <v>200</v>
      </c>
      <c r="I173" s="6" t="n">
        <v>40</v>
      </c>
      <c r="J173" s="6" t="n">
        <v>400</v>
      </c>
      <c r="K173" s="6" t="s">
        <v>1787</v>
      </c>
    </row>
    <row r="174" customFormat="false" ht="15" hidden="false" customHeight="true" outlineLevel="0" collapsed="false">
      <c r="A174" s="6" t="s">
        <v>1049</v>
      </c>
      <c r="B174" s="6" t="n">
        <v>1</v>
      </c>
      <c r="C174" s="6" t="s">
        <v>1053</v>
      </c>
      <c r="D174" s="8" t="n">
        <v>12002</v>
      </c>
      <c r="E174" s="8" t="n">
        <v>1431</v>
      </c>
      <c r="F174" s="8" t="n">
        <v>0</v>
      </c>
      <c r="G174" s="8" t="n">
        <v>0</v>
      </c>
      <c r="H174" s="6" t="n">
        <v>2402</v>
      </c>
      <c r="I174" s="6" t="n">
        <v>2005</v>
      </c>
      <c r="J174" s="6" t="n">
        <v>15</v>
      </c>
      <c r="K174" s="6" t="s">
        <v>1788</v>
      </c>
    </row>
    <row r="175" customFormat="false" ht="15" hidden="false" customHeight="true" outlineLevel="0" collapsed="false">
      <c r="A175" s="6" t="s">
        <v>1055</v>
      </c>
      <c r="B175" s="6" t="n">
        <v>1</v>
      </c>
      <c r="C175" s="6" t="s">
        <v>174</v>
      </c>
      <c r="D175" s="8" t="n">
        <v>11450</v>
      </c>
      <c r="E175" s="8" t="n">
        <v>1000</v>
      </c>
      <c r="F175" s="8" t="s">
        <v>170</v>
      </c>
      <c r="G175" s="8" t="n">
        <v>0</v>
      </c>
      <c r="H175" s="6" t="n">
        <v>250</v>
      </c>
      <c r="I175" s="6" t="n">
        <v>250</v>
      </c>
      <c r="J175" s="6" t="n">
        <v>150</v>
      </c>
      <c r="K175" s="6" t="s">
        <v>1789</v>
      </c>
    </row>
    <row r="176" customFormat="false" ht="15" hidden="false" customHeight="true" outlineLevel="0" collapsed="false">
      <c r="A176" s="6" t="s">
        <v>1059</v>
      </c>
      <c r="B176" s="6" t="n">
        <v>1</v>
      </c>
      <c r="C176" s="6" t="s">
        <v>788</v>
      </c>
      <c r="D176" s="8" t="n">
        <v>12900</v>
      </c>
      <c r="E176" s="8" t="n">
        <v>1450</v>
      </c>
      <c r="F176" s="8" t="n">
        <v>1500</v>
      </c>
      <c r="G176" s="8" t="n">
        <v>0</v>
      </c>
      <c r="H176" s="6" t="n">
        <v>180</v>
      </c>
      <c r="I176" s="6" t="n">
        <v>180</v>
      </c>
      <c r="J176" s="6" t="n">
        <v>200</v>
      </c>
      <c r="K176" s="6" t="s">
        <v>1790</v>
      </c>
    </row>
    <row r="177" customFormat="false" ht="15" hidden="false" customHeight="true" outlineLevel="0" collapsed="false">
      <c r="A177" s="6" t="s">
        <v>1063</v>
      </c>
      <c r="B177" s="6" t="n">
        <v>1</v>
      </c>
      <c r="C177" s="6" t="s">
        <v>1065</v>
      </c>
      <c r="D177" s="8" t="n">
        <v>12915</v>
      </c>
      <c r="E177" s="8" t="n">
        <v>850</v>
      </c>
      <c r="F177" s="8" t="s">
        <v>170</v>
      </c>
      <c r="G177" s="8" t="n">
        <v>0</v>
      </c>
      <c r="H177" s="6" t="n">
        <v>800</v>
      </c>
      <c r="I177" s="6" t="n">
        <v>40</v>
      </c>
      <c r="J177" s="6" t="n">
        <v>10</v>
      </c>
      <c r="K177" s="6" t="s">
        <v>1791</v>
      </c>
    </row>
    <row r="178" customFormat="false" ht="15" hidden="false" customHeight="true" outlineLevel="0" collapsed="false">
      <c r="A178" s="6" t="s">
        <v>1067</v>
      </c>
      <c r="B178" s="6" t="n">
        <v>1</v>
      </c>
      <c r="C178" s="6" t="s">
        <v>1071</v>
      </c>
      <c r="D178" s="8" t="n">
        <v>11020</v>
      </c>
      <c r="E178" s="8" t="n">
        <v>1650</v>
      </c>
      <c r="F178" s="8" t="s">
        <v>170</v>
      </c>
      <c r="G178" s="8" t="n">
        <v>270</v>
      </c>
      <c r="H178" s="6" t="n">
        <v>500</v>
      </c>
      <c r="I178" s="6" t="n">
        <v>40</v>
      </c>
      <c r="J178" s="6" t="n">
        <v>900</v>
      </c>
      <c r="K178" s="6" t="s">
        <v>1792</v>
      </c>
    </row>
    <row r="179" customFormat="false" ht="15" hidden="false" customHeight="true" outlineLevel="0" collapsed="false">
      <c r="A179" s="6" t="s">
        <v>1073</v>
      </c>
      <c r="B179" s="6" t="n">
        <v>1</v>
      </c>
      <c r="C179" s="6" t="s">
        <v>307</v>
      </c>
      <c r="D179" s="8" t="n">
        <v>11100</v>
      </c>
      <c r="E179" s="8" t="n">
        <v>1650</v>
      </c>
      <c r="F179" s="8" t="s">
        <v>170</v>
      </c>
      <c r="G179" s="8" t="n">
        <v>0</v>
      </c>
      <c r="H179" s="6" t="n">
        <v>250</v>
      </c>
      <c r="I179" s="6" t="n">
        <v>250</v>
      </c>
      <c r="J179" s="6" t="n">
        <v>150</v>
      </c>
      <c r="K179" s="6" t="s">
        <v>1793</v>
      </c>
    </row>
    <row r="180" customFormat="false" ht="15" hidden="false" customHeight="true" outlineLevel="0" collapsed="false">
      <c r="A180" s="6" t="s">
        <v>1077</v>
      </c>
      <c r="B180" s="6" t="n">
        <v>1</v>
      </c>
      <c r="C180" s="6" t="s">
        <v>1079</v>
      </c>
      <c r="D180" s="8" t="n">
        <v>11600</v>
      </c>
      <c r="E180" s="8" t="n">
        <v>1500</v>
      </c>
      <c r="F180" s="8" t="n">
        <v>0</v>
      </c>
      <c r="G180" s="8" t="n">
        <v>0</v>
      </c>
      <c r="H180" s="6" t="n">
        <v>600</v>
      </c>
      <c r="I180" s="6" t="n">
        <v>400</v>
      </c>
      <c r="J180" s="6" t="n">
        <v>12</v>
      </c>
      <c r="K180" s="6" t="s">
        <v>1794</v>
      </c>
    </row>
    <row r="181" customFormat="false" ht="15" hidden="false" customHeight="true" outlineLevel="0" collapsed="false">
      <c r="A181" s="6" t="s">
        <v>1081</v>
      </c>
      <c r="B181" s="6" t="n">
        <v>1</v>
      </c>
      <c r="C181" s="6" t="s">
        <v>1085</v>
      </c>
      <c r="D181" s="8" t="n">
        <v>9410</v>
      </c>
      <c r="E181" s="8" t="n">
        <v>9598</v>
      </c>
      <c r="F181" s="8" t="n">
        <v>0</v>
      </c>
      <c r="G181" s="8" t="n">
        <v>0</v>
      </c>
      <c r="H181" s="6" t="n">
        <v>1981</v>
      </c>
      <c r="I181" s="6" t="n">
        <v>1524</v>
      </c>
      <c r="J181" s="6" t="n">
        <v>450</v>
      </c>
      <c r="K181" s="6" t="s">
        <v>1795</v>
      </c>
    </row>
    <row r="182" customFormat="false" ht="15" hidden="false" customHeight="true" outlineLevel="0" collapsed="false">
      <c r="A182" s="6" t="s">
        <v>1087</v>
      </c>
      <c r="B182" s="6" t="n">
        <v>1</v>
      </c>
      <c r="C182" s="6" t="s">
        <v>385</v>
      </c>
      <c r="D182" s="8" t="n">
        <v>8373</v>
      </c>
      <c r="E182" s="8" t="n">
        <v>8832</v>
      </c>
      <c r="F182" s="8" t="n">
        <v>0</v>
      </c>
      <c r="G182" s="8" t="n">
        <v>0</v>
      </c>
      <c r="H182" s="6" t="n">
        <v>450</v>
      </c>
      <c r="I182" s="6" t="n">
        <v>450</v>
      </c>
      <c r="J182" s="6" t="n">
        <v>550</v>
      </c>
      <c r="K182" s="6" t="s">
        <v>1796</v>
      </c>
    </row>
    <row r="183" customFormat="false" ht="15" hidden="false" customHeight="true" outlineLevel="0" collapsed="false">
      <c r="A183" s="6" t="s">
        <v>1087</v>
      </c>
      <c r="B183" s="6" t="n">
        <v>2</v>
      </c>
      <c r="C183" s="6" t="s">
        <v>385</v>
      </c>
      <c r="D183" s="8" t="n">
        <v>10447</v>
      </c>
      <c r="E183" s="8" t="n">
        <v>8832</v>
      </c>
      <c r="F183" s="8" t="n">
        <v>0</v>
      </c>
      <c r="G183" s="8" t="n">
        <v>0</v>
      </c>
      <c r="H183" s="6" t="n">
        <v>450</v>
      </c>
      <c r="I183" s="6" t="n">
        <v>450</v>
      </c>
      <c r="J183" s="6" t="n">
        <v>550</v>
      </c>
      <c r="K183" s="6" t="s">
        <v>1797</v>
      </c>
    </row>
    <row r="184" customFormat="false" ht="15" hidden="false" customHeight="true" outlineLevel="0" collapsed="false">
      <c r="A184" s="6" t="s">
        <v>1093</v>
      </c>
      <c r="B184" s="6" t="n">
        <v>1</v>
      </c>
      <c r="C184" s="6" t="s">
        <v>1098</v>
      </c>
      <c r="D184" s="8" t="n">
        <v>9100</v>
      </c>
      <c r="E184" s="8" t="n">
        <v>11940</v>
      </c>
      <c r="F184" s="8" t="n">
        <v>0</v>
      </c>
      <c r="G184" s="8" t="n">
        <v>0</v>
      </c>
      <c r="H184" s="6" t="n">
        <v>2800</v>
      </c>
      <c r="I184" s="6" t="n">
        <v>600</v>
      </c>
      <c r="J184" s="6" t="n">
        <v>2700</v>
      </c>
      <c r="K184" s="6" t="s">
        <v>1798</v>
      </c>
    </row>
    <row r="185" customFormat="false" ht="15" hidden="false" customHeight="true" outlineLevel="0" collapsed="false">
      <c r="A185" s="6" t="s">
        <v>1093</v>
      </c>
      <c r="B185" s="6" t="n">
        <v>2</v>
      </c>
      <c r="C185" s="6" t="s">
        <v>1098</v>
      </c>
      <c r="D185" s="8" t="n">
        <v>11321</v>
      </c>
      <c r="E185" s="8" t="n">
        <v>9300</v>
      </c>
      <c r="F185" s="8" t="n">
        <v>0</v>
      </c>
      <c r="G185" s="8" t="n">
        <v>90</v>
      </c>
      <c r="H185" s="6" t="n">
        <v>1400</v>
      </c>
      <c r="I185" s="6" t="n">
        <v>400</v>
      </c>
      <c r="J185" s="6" t="n">
        <v>2700</v>
      </c>
      <c r="K185" s="6" t="s">
        <v>1799</v>
      </c>
    </row>
    <row r="186" customFormat="false" ht="15" hidden="false" customHeight="true" outlineLevel="0" collapsed="false">
      <c r="A186" s="6" t="s">
        <v>1100</v>
      </c>
      <c r="B186" s="6" t="n">
        <v>1</v>
      </c>
      <c r="C186" s="6" t="s">
        <v>1104</v>
      </c>
      <c r="D186" s="8" t="n">
        <v>7885</v>
      </c>
      <c r="E186" s="8" t="n">
        <v>10850</v>
      </c>
      <c r="F186" s="8" t="n">
        <v>0</v>
      </c>
      <c r="G186" s="8" t="n">
        <v>270</v>
      </c>
      <c r="H186" s="6" t="n">
        <v>1100</v>
      </c>
      <c r="I186" s="6" t="n">
        <v>500</v>
      </c>
      <c r="J186" s="6" t="n">
        <v>750</v>
      </c>
      <c r="K186" s="6" t="s">
        <v>1800</v>
      </c>
    </row>
    <row r="187" customFormat="false" ht="15" hidden="false" customHeight="true" outlineLevel="0" collapsed="false">
      <c r="A187" s="6" t="s">
        <v>1107</v>
      </c>
      <c r="B187" s="6" t="n">
        <v>1</v>
      </c>
      <c r="C187" s="6" t="s">
        <v>1111</v>
      </c>
      <c r="D187" s="8" t="n">
        <v>11050</v>
      </c>
      <c r="E187" s="8" t="n">
        <v>10475</v>
      </c>
      <c r="F187" s="8" t="n">
        <v>0</v>
      </c>
      <c r="G187" s="8" t="n">
        <v>90</v>
      </c>
      <c r="H187" s="6" t="n">
        <v>750</v>
      </c>
      <c r="I187" s="6" t="n">
        <v>750</v>
      </c>
      <c r="J187" s="6" t="n">
        <v>800</v>
      </c>
      <c r="K187" s="6" t="s">
        <v>1801</v>
      </c>
    </row>
    <row r="188" customFormat="false" ht="15" hidden="false" customHeight="true" outlineLevel="0" collapsed="false">
      <c r="A188" s="6" t="s">
        <v>1113</v>
      </c>
      <c r="B188" s="6" t="n">
        <v>1</v>
      </c>
      <c r="C188" s="6" t="s">
        <v>1115</v>
      </c>
      <c r="D188" s="8" t="n">
        <v>9410</v>
      </c>
      <c r="E188" s="8" t="n">
        <v>10838</v>
      </c>
      <c r="F188" s="8" t="n">
        <v>0</v>
      </c>
      <c r="G188" s="8" t="n">
        <v>0</v>
      </c>
      <c r="H188" s="6" t="n">
        <v>1200</v>
      </c>
      <c r="I188" s="6" t="n">
        <v>400</v>
      </c>
      <c r="J188" s="6" t="n">
        <v>450</v>
      </c>
      <c r="K188" s="6" t="s">
        <v>1802</v>
      </c>
    </row>
    <row r="189" customFormat="false" ht="15" hidden="false" customHeight="true" outlineLevel="0" collapsed="false">
      <c r="A189" s="6" t="s">
        <v>1117</v>
      </c>
      <c r="B189" s="6" t="n">
        <v>1</v>
      </c>
      <c r="C189" s="6" t="s">
        <v>1121</v>
      </c>
      <c r="D189" s="8" t="n">
        <v>7695</v>
      </c>
      <c r="E189" s="8" t="n">
        <v>10900</v>
      </c>
      <c r="F189" s="8" t="n">
        <v>0</v>
      </c>
      <c r="G189" s="8" t="n">
        <v>270</v>
      </c>
      <c r="H189" s="6" t="n">
        <v>800</v>
      </c>
      <c r="I189" s="6" t="n">
        <v>40</v>
      </c>
      <c r="J189" s="6" t="n">
        <v>40</v>
      </c>
      <c r="K189" s="6" t="s">
        <v>1803</v>
      </c>
    </row>
    <row r="190" customFormat="false" ht="15" hidden="false" customHeight="true" outlineLevel="0" collapsed="false">
      <c r="A190" s="6" t="s">
        <v>1123</v>
      </c>
      <c r="B190" s="6" t="n">
        <v>1</v>
      </c>
      <c r="C190" s="6" t="s">
        <v>1126</v>
      </c>
      <c r="D190" s="8" t="n">
        <v>9400</v>
      </c>
      <c r="E190" s="8" t="n">
        <v>8624</v>
      </c>
      <c r="F190" s="8" t="n">
        <v>1250</v>
      </c>
      <c r="G190" s="8" t="n">
        <v>0</v>
      </c>
      <c r="H190" s="6" t="n">
        <v>1400</v>
      </c>
      <c r="I190" s="6" t="n">
        <v>33</v>
      </c>
      <c r="J190" s="6" t="n">
        <v>500</v>
      </c>
      <c r="K190" s="6" t="s">
        <v>1804</v>
      </c>
    </row>
    <row r="191" customFormat="false" ht="15" hidden="false" customHeight="true" outlineLevel="0" collapsed="false">
      <c r="A191" s="6" t="s">
        <v>1128</v>
      </c>
      <c r="B191" s="6" t="n">
        <v>1</v>
      </c>
      <c r="C191" s="6" t="s">
        <v>174</v>
      </c>
      <c r="D191" s="8" t="n">
        <v>7885</v>
      </c>
      <c r="E191" s="8" t="n">
        <v>11200</v>
      </c>
      <c r="F191" s="8" t="s">
        <v>170</v>
      </c>
      <c r="G191" s="8" t="n">
        <v>0</v>
      </c>
      <c r="H191" s="6" t="n">
        <v>250</v>
      </c>
      <c r="I191" s="6" t="n">
        <v>250</v>
      </c>
      <c r="J191" s="6" t="n">
        <v>150</v>
      </c>
      <c r="K191" s="6" t="s">
        <v>1805</v>
      </c>
    </row>
    <row r="192" customFormat="false" ht="15" hidden="false" customHeight="true" outlineLevel="0" collapsed="false">
      <c r="A192" s="6" t="s">
        <v>1134</v>
      </c>
      <c r="B192" s="6" t="n">
        <v>1</v>
      </c>
      <c r="C192" s="6" t="s">
        <v>174</v>
      </c>
      <c r="D192" s="8" t="n">
        <v>11321</v>
      </c>
      <c r="E192" s="8" t="n">
        <v>9300</v>
      </c>
      <c r="F192" s="8" t="s">
        <v>170</v>
      </c>
      <c r="G192" s="8" t="n">
        <v>0</v>
      </c>
      <c r="H192" s="6" t="n">
        <v>250</v>
      </c>
      <c r="I192" s="6" t="n">
        <v>250</v>
      </c>
      <c r="J192" s="6" t="n">
        <v>150</v>
      </c>
      <c r="K192" s="6" t="s">
        <v>1806</v>
      </c>
    </row>
    <row r="193" customFormat="false" ht="15" hidden="false" customHeight="true" outlineLevel="0" collapsed="false">
      <c r="A193" s="6" t="s">
        <v>1139</v>
      </c>
      <c r="B193" s="6" t="n">
        <v>1</v>
      </c>
      <c r="C193" s="6" t="s">
        <v>174</v>
      </c>
      <c r="D193" s="8" t="n">
        <v>8373</v>
      </c>
      <c r="E193" s="8" t="n">
        <v>8832</v>
      </c>
      <c r="F193" s="8" t="s">
        <v>170</v>
      </c>
      <c r="G193" s="8" t="n">
        <v>0</v>
      </c>
      <c r="H193" s="6" t="n">
        <v>250</v>
      </c>
      <c r="I193" s="6" t="n">
        <v>250</v>
      </c>
      <c r="J193" s="6" t="n">
        <v>150</v>
      </c>
      <c r="K193" s="6" t="s">
        <v>1807</v>
      </c>
    </row>
    <row r="194" customFormat="false" ht="15" hidden="false" customHeight="true" outlineLevel="0" collapsed="false">
      <c r="A194" s="6" t="s">
        <v>1141</v>
      </c>
      <c r="B194" s="6" t="n">
        <v>1</v>
      </c>
      <c r="C194" s="6" t="s">
        <v>1146</v>
      </c>
      <c r="D194" s="8" t="n">
        <v>9578</v>
      </c>
      <c r="E194" s="8" t="n">
        <v>10374</v>
      </c>
      <c r="F194" s="8" t="n">
        <v>0</v>
      </c>
      <c r="G194" s="8" t="n">
        <v>0</v>
      </c>
      <c r="H194" s="6" t="n">
        <v>3886</v>
      </c>
      <c r="I194" s="6" t="n">
        <v>3733</v>
      </c>
      <c r="J194" s="6" t="n">
        <v>0</v>
      </c>
      <c r="K194" s="6" t="s">
        <v>1808</v>
      </c>
    </row>
    <row r="195" customFormat="false" ht="15" hidden="false" customHeight="true" outlineLevel="0" collapsed="false">
      <c r="A195" s="6" t="s">
        <v>1148</v>
      </c>
      <c r="B195" s="6" t="n">
        <v>1</v>
      </c>
      <c r="C195" s="6" t="s">
        <v>1153</v>
      </c>
      <c r="D195" s="8" t="n">
        <v>9400</v>
      </c>
      <c r="E195" s="8" t="n">
        <v>8557</v>
      </c>
      <c r="F195" s="8" t="n">
        <v>0</v>
      </c>
      <c r="G195" s="8" t="n">
        <v>0</v>
      </c>
      <c r="H195" s="6" t="n">
        <v>2600</v>
      </c>
      <c r="I195" s="6" t="n">
        <v>100</v>
      </c>
      <c r="J195" s="6" t="n">
        <v>2700</v>
      </c>
      <c r="K195" s="6" t="s">
        <v>1809</v>
      </c>
    </row>
    <row r="196" customFormat="false" ht="15" hidden="false" customHeight="true" outlineLevel="0" collapsed="false">
      <c r="A196" s="6" t="s">
        <v>1155</v>
      </c>
      <c r="B196" s="6" t="n">
        <v>1</v>
      </c>
      <c r="C196" s="6" t="s">
        <v>1159</v>
      </c>
      <c r="D196" s="8" t="n">
        <v>7655</v>
      </c>
      <c r="E196" s="8" t="n">
        <v>10850</v>
      </c>
      <c r="F196" s="8" t="n">
        <v>0</v>
      </c>
      <c r="G196" s="8" t="n">
        <v>270</v>
      </c>
      <c r="H196" s="6" t="n">
        <v>1200</v>
      </c>
      <c r="I196" s="6" t="n">
        <v>40</v>
      </c>
      <c r="J196" s="6" t="n">
        <v>2700</v>
      </c>
      <c r="K196" s="6" t="s">
        <v>1810</v>
      </c>
    </row>
    <row r="197" customFormat="false" ht="15" hidden="false" customHeight="true" outlineLevel="0" collapsed="false">
      <c r="A197" s="6" t="s">
        <v>1161</v>
      </c>
      <c r="B197" s="6" t="n">
        <v>1</v>
      </c>
      <c r="C197" s="6" t="s">
        <v>1165</v>
      </c>
      <c r="D197" s="8" t="n">
        <v>10650</v>
      </c>
      <c r="E197" s="8" t="n">
        <v>8560</v>
      </c>
      <c r="F197" s="8" t="n">
        <v>0</v>
      </c>
      <c r="G197" s="8" t="n">
        <v>0</v>
      </c>
      <c r="H197" s="6" t="n">
        <v>250</v>
      </c>
      <c r="I197" s="6" t="n">
        <v>250</v>
      </c>
      <c r="J197" s="6" t="n">
        <v>5</v>
      </c>
      <c r="K197" s="6" t="s">
        <v>1811</v>
      </c>
    </row>
    <row r="198" customFormat="false" ht="15" hidden="false" customHeight="true" outlineLevel="0" collapsed="false">
      <c r="A198" s="6" t="s">
        <v>1167</v>
      </c>
      <c r="B198" s="6" t="n">
        <v>1</v>
      </c>
      <c r="C198" s="6" t="s">
        <v>1169</v>
      </c>
      <c r="D198" s="8" t="n">
        <v>9578</v>
      </c>
      <c r="E198" s="8" t="n">
        <v>10374</v>
      </c>
      <c r="F198" s="8" t="n">
        <v>0</v>
      </c>
      <c r="G198" s="8" t="n">
        <v>0</v>
      </c>
      <c r="H198" s="6" t="n">
        <v>3886</v>
      </c>
      <c r="I198" s="6" t="n">
        <v>3733</v>
      </c>
      <c r="J198" s="6" t="n">
        <v>15</v>
      </c>
      <c r="K198" s="6" t="s">
        <v>1812</v>
      </c>
    </row>
    <row r="199" customFormat="false" ht="15" hidden="false" customHeight="true" outlineLevel="0" collapsed="false">
      <c r="A199" s="6" t="s">
        <v>1171</v>
      </c>
      <c r="B199" s="6" t="n">
        <v>1</v>
      </c>
      <c r="C199" s="6" t="s">
        <v>1174</v>
      </c>
      <c r="D199" s="8" t="n">
        <v>9400</v>
      </c>
      <c r="E199" s="8" t="n">
        <v>11450</v>
      </c>
      <c r="F199" s="8" t="n">
        <v>2750</v>
      </c>
      <c r="G199" s="8" t="n">
        <v>0</v>
      </c>
      <c r="H199" s="6" t="n">
        <v>2600</v>
      </c>
      <c r="I199" s="6" t="n">
        <v>40</v>
      </c>
      <c r="J199" s="6" t="n">
        <v>40</v>
      </c>
      <c r="K199" s="6" t="s">
        <v>1813</v>
      </c>
    </row>
    <row r="200" customFormat="false" ht="15" hidden="false" customHeight="true" outlineLevel="0" collapsed="false">
      <c r="A200" s="6" t="s">
        <v>1176</v>
      </c>
      <c r="B200" s="6" t="n">
        <v>1</v>
      </c>
      <c r="C200" s="6" t="s">
        <v>281</v>
      </c>
      <c r="D200" s="8" t="n">
        <v>8373</v>
      </c>
      <c r="E200" s="8" t="n">
        <v>9150</v>
      </c>
      <c r="F200" s="8" t="n">
        <v>1500</v>
      </c>
      <c r="G200" s="8" t="n">
        <v>0</v>
      </c>
      <c r="H200" s="6" t="n">
        <v>200</v>
      </c>
      <c r="I200" s="6" t="n">
        <v>200</v>
      </c>
      <c r="J200" s="6" t="n">
        <v>200</v>
      </c>
      <c r="K200" s="6" t="s">
        <v>1814</v>
      </c>
    </row>
    <row r="201" customFormat="false" ht="15" hidden="false" customHeight="true" outlineLevel="0" collapsed="false">
      <c r="A201" s="6" t="s">
        <v>1176</v>
      </c>
      <c r="B201" s="6" t="n">
        <v>2</v>
      </c>
      <c r="C201" s="6" t="s">
        <v>281</v>
      </c>
      <c r="D201" s="8" t="n">
        <v>10447</v>
      </c>
      <c r="E201" s="8" t="n">
        <v>9150</v>
      </c>
      <c r="F201" s="8" t="n">
        <v>1500</v>
      </c>
      <c r="G201" s="8" t="n">
        <v>0</v>
      </c>
      <c r="H201" s="6" t="n">
        <v>200</v>
      </c>
      <c r="I201" s="6" t="n">
        <v>200</v>
      </c>
      <c r="J201" s="6" t="n">
        <v>200</v>
      </c>
      <c r="K201" s="6" t="s">
        <v>1815</v>
      </c>
    </row>
    <row r="202" customFormat="false" ht="15" hidden="false" customHeight="true" outlineLevel="0" collapsed="false">
      <c r="A202" s="6" t="s">
        <v>1181</v>
      </c>
      <c r="B202" s="6" t="n">
        <v>1</v>
      </c>
      <c r="C202" s="6" t="s">
        <v>1183</v>
      </c>
      <c r="D202" s="8" t="n">
        <v>9410</v>
      </c>
      <c r="E202" s="8" t="n">
        <v>10300</v>
      </c>
      <c r="F202" s="8" t="n">
        <v>2750</v>
      </c>
      <c r="G202" s="8" t="n">
        <v>0</v>
      </c>
      <c r="H202" s="6" t="n">
        <v>1100</v>
      </c>
      <c r="I202" s="6" t="n">
        <v>1100</v>
      </c>
      <c r="J202" s="6" t="n">
        <v>400</v>
      </c>
      <c r="K202" s="6" t="s">
        <v>1816</v>
      </c>
    </row>
    <row r="203" customFormat="false" ht="15" hidden="false" customHeight="true" outlineLevel="0" collapsed="false">
      <c r="A203" s="6" t="s">
        <v>1185</v>
      </c>
      <c r="B203" s="6" t="n">
        <v>1</v>
      </c>
      <c r="C203" s="6" t="s">
        <v>1187</v>
      </c>
      <c r="D203" s="8" t="n">
        <v>11500</v>
      </c>
      <c r="E203" s="8" t="n">
        <v>11009</v>
      </c>
      <c r="F203" s="8" t="n">
        <v>0</v>
      </c>
      <c r="G203" s="8" t="n">
        <v>90</v>
      </c>
      <c r="H203" s="6" t="n">
        <v>1668</v>
      </c>
      <c r="I203" s="6" t="n">
        <v>41</v>
      </c>
      <c r="J203" s="6" t="n">
        <v>2700</v>
      </c>
      <c r="K203" s="6" t="s">
        <v>1817</v>
      </c>
    </row>
    <row r="204" customFormat="false" ht="15" hidden="false" customHeight="true" outlineLevel="0" collapsed="false">
      <c r="A204" s="6" t="s">
        <v>1189</v>
      </c>
      <c r="B204" s="6" t="n">
        <v>1</v>
      </c>
      <c r="C204" s="6" t="s">
        <v>1192</v>
      </c>
      <c r="D204" s="8" t="n">
        <v>9410</v>
      </c>
      <c r="E204" s="8" t="n">
        <v>10400</v>
      </c>
      <c r="F204" s="8" t="n">
        <v>0</v>
      </c>
      <c r="G204" s="8" t="n">
        <v>0</v>
      </c>
      <c r="H204" s="6" t="n">
        <v>2400</v>
      </c>
      <c r="I204" s="6" t="n">
        <v>2000</v>
      </c>
      <c r="J204" s="6" t="n">
        <v>12</v>
      </c>
      <c r="K204" s="6" t="s">
        <v>1818</v>
      </c>
    </row>
    <row r="205" customFormat="false" ht="15" hidden="false" customHeight="true" outlineLevel="0" collapsed="false">
      <c r="A205" s="6" t="s">
        <v>1194</v>
      </c>
      <c r="B205" s="6" t="n">
        <v>1</v>
      </c>
      <c r="C205" s="6" t="s">
        <v>307</v>
      </c>
      <c r="D205" s="8" t="n">
        <v>9410</v>
      </c>
      <c r="E205" s="8" t="n">
        <v>8900</v>
      </c>
      <c r="F205" s="8" t="s">
        <v>170</v>
      </c>
      <c r="G205" s="8" t="n">
        <v>0</v>
      </c>
      <c r="H205" s="6" t="n">
        <v>250</v>
      </c>
      <c r="I205" s="6" t="n">
        <v>250</v>
      </c>
      <c r="J205" s="6" t="n">
        <v>150</v>
      </c>
      <c r="K205" s="6" t="s">
        <v>1819</v>
      </c>
    </row>
    <row r="206" customFormat="false" ht="15" hidden="false" customHeight="true" outlineLevel="0" collapsed="false">
      <c r="A206" s="6" t="s">
        <v>1196</v>
      </c>
      <c r="B206" s="6" t="n">
        <v>1</v>
      </c>
      <c r="C206" s="6" t="s">
        <v>1199</v>
      </c>
      <c r="D206" s="8" t="n">
        <v>7260</v>
      </c>
      <c r="E206" s="8" t="n">
        <v>11618</v>
      </c>
      <c r="F206" s="8" t="n">
        <v>0</v>
      </c>
      <c r="G206" s="8" t="n">
        <v>90</v>
      </c>
      <c r="H206" s="6" t="n">
        <v>1155</v>
      </c>
      <c r="I206" s="6" t="n">
        <v>505</v>
      </c>
      <c r="J206" s="6" t="n">
        <v>850</v>
      </c>
      <c r="K206" s="6" t="s">
        <v>1820</v>
      </c>
    </row>
    <row r="207" customFormat="false" ht="15" hidden="false" customHeight="true" outlineLevel="0" collapsed="false">
      <c r="A207" s="6" t="s">
        <v>1201</v>
      </c>
      <c r="B207" s="6" t="n">
        <v>1</v>
      </c>
      <c r="C207" s="6" t="s">
        <v>1203</v>
      </c>
      <c r="D207" s="8" t="n">
        <v>6540</v>
      </c>
      <c r="E207" s="8" t="n">
        <v>11925</v>
      </c>
      <c r="F207" s="8" t="n">
        <v>0</v>
      </c>
      <c r="G207" s="8" t="n">
        <v>90</v>
      </c>
      <c r="H207" s="6" t="n">
        <v>540</v>
      </c>
      <c r="I207" s="6" t="n">
        <v>380</v>
      </c>
      <c r="J207" s="6" t="n">
        <v>400</v>
      </c>
      <c r="K207" s="6" t="s">
        <v>1821</v>
      </c>
    </row>
    <row r="208" customFormat="false" ht="15" hidden="false" customHeight="true" outlineLevel="0" collapsed="false">
      <c r="A208" s="6" t="s">
        <v>1205</v>
      </c>
      <c r="B208" s="6" t="n">
        <v>1</v>
      </c>
      <c r="C208" s="6" t="s">
        <v>1208</v>
      </c>
      <c r="D208" s="8" t="n">
        <v>5750</v>
      </c>
      <c r="E208" s="8" t="n">
        <v>11718</v>
      </c>
      <c r="F208" s="8" t="n">
        <v>0</v>
      </c>
      <c r="G208" s="8" t="n">
        <v>0</v>
      </c>
      <c r="H208" s="6" t="n">
        <v>1000</v>
      </c>
      <c r="I208" s="6" t="n">
        <v>955</v>
      </c>
      <c r="J208" s="6" t="n">
        <v>2100</v>
      </c>
      <c r="K208" s="6" t="s">
        <v>1822</v>
      </c>
    </row>
    <row r="209" customFormat="false" ht="15" hidden="false" customHeight="true" outlineLevel="0" collapsed="false">
      <c r="A209" s="6" t="s">
        <v>1210</v>
      </c>
      <c r="B209" s="6" t="n">
        <v>1</v>
      </c>
      <c r="C209" s="6" t="s">
        <v>1217</v>
      </c>
      <c r="D209" s="8" t="n">
        <v>4675</v>
      </c>
      <c r="E209" s="8" t="n">
        <v>11270</v>
      </c>
      <c r="F209" s="8" t="n">
        <v>0</v>
      </c>
      <c r="G209" s="8" t="n">
        <v>90</v>
      </c>
      <c r="H209" s="6" t="n">
        <v>1500</v>
      </c>
      <c r="I209" s="6" t="n">
        <v>750</v>
      </c>
      <c r="J209" s="6" t="n">
        <v>560</v>
      </c>
      <c r="K209" s="6" t="s">
        <v>1823</v>
      </c>
    </row>
    <row r="210" customFormat="false" ht="15" hidden="false" customHeight="true" outlineLevel="0" collapsed="false">
      <c r="A210" s="6" t="s">
        <v>1219</v>
      </c>
      <c r="B210" s="6" t="n">
        <v>1</v>
      </c>
      <c r="C210" s="6" t="s">
        <v>1223</v>
      </c>
      <c r="D210" s="8" t="n">
        <v>5500</v>
      </c>
      <c r="E210" s="8" t="n">
        <v>10496</v>
      </c>
      <c r="F210" s="8" t="n">
        <v>0</v>
      </c>
      <c r="G210" s="8" t="n">
        <v>0</v>
      </c>
      <c r="H210" s="6" t="n">
        <v>400</v>
      </c>
      <c r="I210" s="6" t="n">
        <v>400</v>
      </c>
      <c r="J210" s="6" t="n">
        <v>2100</v>
      </c>
      <c r="K210" s="6" t="s">
        <v>1824</v>
      </c>
    </row>
    <row r="211" customFormat="false" ht="15" hidden="false" customHeight="true" outlineLevel="0" collapsed="false">
      <c r="A211" s="6" t="s">
        <v>1225</v>
      </c>
      <c r="B211" s="6" t="n">
        <v>1</v>
      </c>
      <c r="C211" s="6" t="s">
        <v>1227</v>
      </c>
      <c r="D211" s="8" t="n">
        <v>5500</v>
      </c>
      <c r="E211" s="8" t="n">
        <v>12175</v>
      </c>
      <c r="F211" s="8" t="n">
        <v>0</v>
      </c>
      <c r="G211" s="8" t="n">
        <v>180</v>
      </c>
      <c r="H211" s="6" t="n">
        <v>400</v>
      </c>
      <c r="I211" s="6" t="n">
        <v>40</v>
      </c>
      <c r="J211" s="6" t="n">
        <v>400</v>
      </c>
      <c r="K211" s="6" t="s">
        <v>1825</v>
      </c>
    </row>
    <row r="212" customFormat="false" ht="15" hidden="false" customHeight="true" outlineLevel="0" collapsed="false">
      <c r="A212" s="6" t="s">
        <v>1229</v>
      </c>
      <c r="B212" s="6" t="n">
        <v>1</v>
      </c>
      <c r="C212" s="6" t="s">
        <v>1231</v>
      </c>
      <c r="D212" s="8" t="n">
        <v>7493</v>
      </c>
      <c r="E212" s="8" t="n">
        <v>11640</v>
      </c>
      <c r="F212" s="8" t="n">
        <v>1050</v>
      </c>
      <c r="G212" s="8" t="n">
        <v>90</v>
      </c>
      <c r="H212" s="6" t="n">
        <v>1000</v>
      </c>
      <c r="I212" s="6" t="n">
        <v>40</v>
      </c>
      <c r="J212" s="6" t="n">
        <v>900</v>
      </c>
      <c r="K212" s="6" t="s">
        <v>1826</v>
      </c>
    </row>
    <row r="213" customFormat="false" ht="15" hidden="false" customHeight="true" outlineLevel="0" collapsed="false">
      <c r="A213" s="6" t="s">
        <v>1233</v>
      </c>
      <c r="B213" s="6" t="n">
        <v>1</v>
      </c>
      <c r="C213" s="6" t="s">
        <v>1227</v>
      </c>
      <c r="D213" s="8" t="n">
        <v>6000</v>
      </c>
      <c r="E213" s="8" t="n">
        <v>12175</v>
      </c>
      <c r="F213" s="8" t="n">
        <v>0</v>
      </c>
      <c r="G213" s="8" t="n">
        <v>180</v>
      </c>
      <c r="H213" s="6" t="n">
        <v>400</v>
      </c>
      <c r="I213" s="6" t="n">
        <v>40</v>
      </c>
      <c r="J213" s="6" t="n">
        <v>400</v>
      </c>
      <c r="K213" s="6" t="s">
        <v>1827</v>
      </c>
    </row>
    <row r="214" customFormat="false" ht="15" hidden="false" customHeight="true" outlineLevel="0" collapsed="false">
      <c r="A214" s="6" t="s">
        <v>1237</v>
      </c>
      <c r="B214" s="6" t="n">
        <v>1</v>
      </c>
      <c r="C214" s="6" t="s">
        <v>174</v>
      </c>
      <c r="D214" s="8" t="n">
        <v>7260</v>
      </c>
      <c r="E214" s="8" t="n">
        <v>11300</v>
      </c>
      <c r="F214" s="8" t="s">
        <v>170</v>
      </c>
      <c r="G214" s="8" t="n">
        <v>0</v>
      </c>
      <c r="H214" s="6" t="n">
        <v>250</v>
      </c>
      <c r="I214" s="6" t="n">
        <v>250</v>
      </c>
      <c r="J214" s="6" t="n">
        <v>150</v>
      </c>
      <c r="K214" s="6" t="s">
        <v>1828</v>
      </c>
    </row>
    <row r="215" customFormat="false" ht="15" hidden="false" customHeight="true" outlineLevel="0" collapsed="false">
      <c r="A215" s="6" t="s">
        <v>1239</v>
      </c>
      <c r="B215" s="6" t="n">
        <v>1</v>
      </c>
      <c r="C215" s="6" t="s">
        <v>174</v>
      </c>
      <c r="D215" s="8" t="n">
        <v>5180</v>
      </c>
      <c r="E215" s="8" t="n">
        <v>10700</v>
      </c>
      <c r="F215" s="8" t="s">
        <v>170</v>
      </c>
      <c r="G215" s="8" t="n">
        <v>0</v>
      </c>
      <c r="H215" s="6" t="n">
        <v>250</v>
      </c>
      <c r="I215" s="6" t="n">
        <v>250</v>
      </c>
      <c r="J215" s="6" t="n">
        <v>150</v>
      </c>
      <c r="K215" s="6" t="s">
        <v>1829</v>
      </c>
    </row>
    <row r="216" customFormat="false" ht="15" hidden="false" customHeight="true" outlineLevel="0" collapsed="false">
      <c r="A216" s="6" t="s">
        <v>1244</v>
      </c>
      <c r="B216" s="6" t="n">
        <v>1</v>
      </c>
      <c r="C216" s="6" t="s">
        <v>307</v>
      </c>
      <c r="D216" s="8" t="n">
        <v>5500</v>
      </c>
      <c r="E216" s="8" t="n">
        <v>10496</v>
      </c>
      <c r="F216" s="8" t="s">
        <v>170</v>
      </c>
      <c r="G216" s="8" t="n">
        <v>0</v>
      </c>
      <c r="H216" s="6" t="n">
        <v>250</v>
      </c>
      <c r="I216" s="6" t="n">
        <v>250</v>
      </c>
      <c r="J216" s="6" t="n">
        <v>150</v>
      </c>
      <c r="K216" s="6" t="s">
        <v>1830</v>
      </c>
    </row>
    <row r="217" customFormat="false" ht="15" hidden="false" customHeight="true" outlineLevel="0" collapsed="false">
      <c r="A217" s="6" t="s">
        <v>1246</v>
      </c>
      <c r="B217" s="6" t="n">
        <v>1</v>
      </c>
      <c r="C217" s="6" t="s">
        <v>1036</v>
      </c>
      <c r="D217" s="8" t="n">
        <v>6500</v>
      </c>
      <c r="E217" s="8" t="n">
        <v>10500</v>
      </c>
      <c r="F217" s="8" t="n">
        <v>0</v>
      </c>
      <c r="G217" s="8" t="n">
        <v>0</v>
      </c>
      <c r="H217" s="6" t="n">
        <v>250</v>
      </c>
      <c r="I217" s="6" t="n">
        <v>250</v>
      </c>
      <c r="J217" s="6" t="n">
        <v>600</v>
      </c>
      <c r="K217" s="6" t="s">
        <v>1831</v>
      </c>
    </row>
    <row r="218" customFormat="false" ht="15" hidden="false" customHeight="true" outlineLevel="0" collapsed="false">
      <c r="A218" s="6" t="s">
        <v>1248</v>
      </c>
      <c r="B218" s="6" t="n">
        <v>1</v>
      </c>
      <c r="C218" s="6" t="s">
        <v>1250</v>
      </c>
      <c r="D218" s="8" t="n">
        <v>5898</v>
      </c>
      <c r="E218" s="8" t="n">
        <v>11246</v>
      </c>
      <c r="F218" s="8" t="n">
        <v>0</v>
      </c>
      <c r="G218" s="8" t="n">
        <v>0</v>
      </c>
      <c r="H218" s="6" t="n">
        <v>3320</v>
      </c>
      <c r="I218" s="6" t="n">
        <v>1989</v>
      </c>
      <c r="J218" s="6" t="n">
        <v>0</v>
      </c>
      <c r="K218" s="6" t="s">
        <v>1832</v>
      </c>
    </row>
    <row r="219" customFormat="false" ht="15" hidden="false" customHeight="true" outlineLevel="0" collapsed="false">
      <c r="A219" s="6" t="s">
        <v>1252</v>
      </c>
      <c r="B219" s="6" t="n">
        <v>1</v>
      </c>
      <c r="C219" s="6" t="s">
        <v>1256</v>
      </c>
      <c r="D219" s="8" t="n">
        <v>4270</v>
      </c>
      <c r="E219" s="8" t="n">
        <v>11270</v>
      </c>
      <c r="F219" s="8" t="n">
        <v>0</v>
      </c>
      <c r="G219" s="8" t="n">
        <v>270</v>
      </c>
      <c r="H219" s="6" t="n">
        <v>1740</v>
      </c>
      <c r="I219" s="6" t="n">
        <v>40</v>
      </c>
      <c r="J219" s="6" t="n">
        <v>2700</v>
      </c>
      <c r="K219" s="6" t="s">
        <v>1833</v>
      </c>
    </row>
    <row r="220" customFormat="false" ht="15" hidden="false" customHeight="true" outlineLevel="0" collapsed="false">
      <c r="A220" s="6" t="s">
        <v>1258</v>
      </c>
      <c r="B220" s="6" t="n">
        <v>1</v>
      </c>
      <c r="C220" s="6" t="s">
        <v>1261</v>
      </c>
      <c r="D220" s="8" t="n">
        <v>5898</v>
      </c>
      <c r="E220" s="8" t="n">
        <v>11246</v>
      </c>
      <c r="F220" s="8" t="n">
        <v>0</v>
      </c>
      <c r="G220" s="8" t="n">
        <v>0</v>
      </c>
      <c r="H220" s="6" t="n">
        <v>3320</v>
      </c>
      <c r="I220" s="6" t="n">
        <v>1989</v>
      </c>
      <c r="J220" s="6" t="n">
        <v>15</v>
      </c>
      <c r="K220" s="6" t="s">
        <v>1834</v>
      </c>
    </row>
    <row r="221" customFormat="false" ht="15" hidden="false" customHeight="true" outlineLevel="0" collapsed="false">
      <c r="A221" s="6" t="s">
        <v>1263</v>
      </c>
      <c r="B221" s="6" t="n">
        <v>1</v>
      </c>
      <c r="C221" s="6" t="s">
        <v>1267</v>
      </c>
      <c r="D221" s="8" t="n">
        <v>5180</v>
      </c>
      <c r="E221" s="8" t="n">
        <v>11270</v>
      </c>
      <c r="F221" s="8" t="s">
        <v>170</v>
      </c>
      <c r="G221" s="8" t="n">
        <v>0</v>
      </c>
      <c r="H221" s="6" t="n">
        <v>120</v>
      </c>
      <c r="I221" s="6" t="n">
        <v>120</v>
      </c>
      <c r="J221" s="6" t="n">
        <v>1000</v>
      </c>
      <c r="K221" s="6" t="s">
        <v>1835</v>
      </c>
    </row>
    <row r="222" customFormat="false" ht="15" hidden="false" customHeight="true" outlineLevel="0" collapsed="false">
      <c r="A222" s="6" t="s">
        <v>1269</v>
      </c>
      <c r="B222" s="6" t="n">
        <v>1</v>
      </c>
      <c r="C222" s="6" t="s">
        <v>788</v>
      </c>
      <c r="D222" s="8" t="n">
        <v>7450</v>
      </c>
      <c r="E222" s="8" t="n">
        <v>11050</v>
      </c>
      <c r="F222" s="8" t="n">
        <v>1500</v>
      </c>
      <c r="G222" s="8" t="n">
        <v>0</v>
      </c>
      <c r="H222" s="6" t="n">
        <v>180</v>
      </c>
      <c r="I222" s="6" t="n">
        <v>180</v>
      </c>
      <c r="J222" s="6" t="n">
        <v>200</v>
      </c>
      <c r="K222" s="6" t="s">
        <v>1836</v>
      </c>
    </row>
    <row r="223" customFormat="false" ht="15" hidden="false" customHeight="true" outlineLevel="0" collapsed="false">
      <c r="A223" s="6" t="s">
        <v>1273</v>
      </c>
      <c r="B223" s="6" t="n">
        <v>1</v>
      </c>
      <c r="C223" s="6" t="s">
        <v>1275</v>
      </c>
      <c r="D223" s="8" t="n">
        <v>7470</v>
      </c>
      <c r="E223" s="8" t="n">
        <v>11640</v>
      </c>
      <c r="F223" s="8" t="s">
        <v>170</v>
      </c>
      <c r="G223" s="8" t="n">
        <v>0</v>
      </c>
      <c r="H223" s="6" t="n">
        <v>1000</v>
      </c>
      <c r="I223" s="6" t="n">
        <v>40</v>
      </c>
      <c r="J223" s="6" t="n">
        <v>10</v>
      </c>
      <c r="K223" s="6" t="s">
        <v>1837</v>
      </c>
    </row>
    <row r="224" customFormat="false" ht="15" hidden="false" customHeight="true" outlineLevel="0" collapsed="false">
      <c r="A224" s="6" t="s">
        <v>1277</v>
      </c>
      <c r="B224" s="6" t="n">
        <v>1</v>
      </c>
      <c r="C224" s="6" t="s">
        <v>1280</v>
      </c>
      <c r="D224" s="8" t="n">
        <v>6200</v>
      </c>
      <c r="E224" s="8" t="n">
        <v>10271</v>
      </c>
      <c r="F224" s="8" t="s">
        <v>170</v>
      </c>
      <c r="G224" s="8" t="n">
        <v>0</v>
      </c>
      <c r="H224" s="6" t="n">
        <v>600</v>
      </c>
      <c r="I224" s="6" t="n">
        <v>40</v>
      </c>
      <c r="J224" s="6" t="n">
        <v>900</v>
      </c>
      <c r="K224" s="6" t="s">
        <v>1838</v>
      </c>
    </row>
    <row r="225" customFormat="false" ht="15" hidden="false" customHeight="true" outlineLevel="0" collapsed="false">
      <c r="A225" s="6" t="s">
        <v>1282</v>
      </c>
      <c r="B225" s="6" t="n">
        <v>1</v>
      </c>
      <c r="C225" s="6" t="s">
        <v>307</v>
      </c>
      <c r="D225" s="8" t="n">
        <v>6200</v>
      </c>
      <c r="E225" s="8" t="n">
        <v>10450</v>
      </c>
      <c r="F225" s="8" t="s">
        <v>170</v>
      </c>
      <c r="G225" s="8" t="n">
        <v>0</v>
      </c>
      <c r="H225" s="6" t="n">
        <v>250</v>
      </c>
      <c r="I225" s="6" t="n">
        <v>250</v>
      </c>
      <c r="J225" s="6" t="n">
        <v>150</v>
      </c>
      <c r="K225" s="6" t="s">
        <v>1839</v>
      </c>
    </row>
    <row r="226" customFormat="false" ht="15" hidden="false" customHeight="true" outlineLevel="0" collapsed="false">
      <c r="A226" s="6" t="s">
        <v>1284</v>
      </c>
      <c r="B226" s="6" t="n">
        <v>1</v>
      </c>
      <c r="C226" s="6" t="s">
        <v>1286</v>
      </c>
      <c r="D226" s="8" t="n">
        <v>5850</v>
      </c>
      <c r="E226" s="8" t="n">
        <v>10950</v>
      </c>
      <c r="F226" s="8" t="n">
        <v>0</v>
      </c>
      <c r="G226" s="8" t="n">
        <v>0</v>
      </c>
      <c r="H226" s="6" t="n">
        <v>700</v>
      </c>
      <c r="I226" s="6" t="n">
        <v>400</v>
      </c>
      <c r="J226" s="6" t="n">
        <v>12</v>
      </c>
      <c r="K226" s="6" t="s">
        <v>1840</v>
      </c>
    </row>
    <row r="227" customFormat="false" ht="15" hidden="false" customHeight="true" outlineLevel="0" collapsed="false">
      <c r="A227" s="6" t="s">
        <v>1288</v>
      </c>
      <c r="B227" s="6" t="n">
        <v>1</v>
      </c>
      <c r="C227" s="6" t="s">
        <v>1295</v>
      </c>
      <c r="D227" s="8" t="n">
        <v>1300</v>
      </c>
      <c r="E227" s="8" t="n">
        <v>9900</v>
      </c>
      <c r="F227" s="8" t="n">
        <v>0</v>
      </c>
      <c r="G227" s="8" t="n">
        <v>270</v>
      </c>
      <c r="H227" s="6" t="n">
        <v>800</v>
      </c>
      <c r="I227" s="6" t="n">
        <v>800</v>
      </c>
      <c r="J227" s="6" t="n">
        <v>750</v>
      </c>
      <c r="K227" s="6" t="s">
        <v>1841</v>
      </c>
    </row>
    <row r="228" customFormat="false" ht="15" hidden="false" customHeight="true" outlineLevel="0" collapsed="false">
      <c r="A228" s="6" t="s">
        <v>1288</v>
      </c>
      <c r="B228" s="6" t="n">
        <v>2</v>
      </c>
      <c r="C228" s="6" t="s">
        <v>1295</v>
      </c>
      <c r="D228" s="8" t="n">
        <v>2900</v>
      </c>
      <c r="E228" s="8" t="n">
        <v>9900</v>
      </c>
      <c r="F228" s="8" t="n">
        <v>0</v>
      </c>
      <c r="G228" s="8" t="n">
        <v>270</v>
      </c>
      <c r="H228" s="6" t="n">
        <v>800</v>
      </c>
      <c r="I228" s="6" t="n">
        <v>800</v>
      </c>
      <c r="J228" s="6" t="n">
        <v>750</v>
      </c>
      <c r="K228" s="6" t="s">
        <v>1842</v>
      </c>
    </row>
    <row r="229" customFormat="false" ht="15" hidden="false" customHeight="true" outlineLevel="0" collapsed="false">
      <c r="A229" s="6" t="s">
        <v>1297</v>
      </c>
      <c r="B229" s="6" t="n">
        <v>1</v>
      </c>
      <c r="C229" s="6" t="s">
        <v>1301</v>
      </c>
      <c r="D229" s="8" t="n">
        <v>2100</v>
      </c>
      <c r="E229" s="8" t="n">
        <v>9900</v>
      </c>
      <c r="F229" s="8" t="n">
        <v>0</v>
      </c>
      <c r="G229" s="8" t="n">
        <v>0</v>
      </c>
      <c r="H229" s="6" t="n">
        <v>650</v>
      </c>
      <c r="I229" s="6" t="n">
        <v>650</v>
      </c>
      <c r="J229" s="6" t="n">
        <v>450</v>
      </c>
      <c r="K229" s="6" t="s">
        <v>1843</v>
      </c>
    </row>
    <row r="230" customFormat="false" ht="15" hidden="false" customHeight="true" outlineLevel="0" collapsed="false">
      <c r="A230" s="6" t="s">
        <v>1303</v>
      </c>
      <c r="B230" s="6" t="n">
        <v>1</v>
      </c>
      <c r="C230" s="6" t="s">
        <v>1310</v>
      </c>
      <c r="D230" s="8" t="n">
        <v>2000</v>
      </c>
      <c r="E230" s="8" t="n">
        <v>11500</v>
      </c>
      <c r="F230" s="8" t="n">
        <v>0</v>
      </c>
      <c r="G230" s="8" t="n">
        <v>0</v>
      </c>
      <c r="H230" s="6" t="n">
        <v>2000</v>
      </c>
      <c r="I230" s="6" t="n">
        <v>1200</v>
      </c>
      <c r="J230" s="6" t="n">
        <v>2400</v>
      </c>
      <c r="K230" s="6" t="s">
        <v>1844</v>
      </c>
    </row>
    <row r="231" customFormat="false" ht="15" hidden="false" customHeight="true" outlineLevel="0" collapsed="false">
      <c r="A231" s="6" t="s">
        <v>1313</v>
      </c>
      <c r="B231" s="6" t="n">
        <v>1</v>
      </c>
      <c r="C231" s="6" t="s">
        <v>1320</v>
      </c>
      <c r="D231" s="8" t="n">
        <v>3770</v>
      </c>
      <c r="E231" s="8" t="n">
        <v>10650</v>
      </c>
      <c r="F231" s="8" t="n">
        <v>0</v>
      </c>
      <c r="G231" s="8" t="n">
        <v>90</v>
      </c>
      <c r="H231" s="6" t="n">
        <v>1500</v>
      </c>
      <c r="I231" s="6" t="n">
        <v>450</v>
      </c>
      <c r="J231" s="6" t="n">
        <v>800</v>
      </c>
      <c r="K231" s="6" t="s">
        <v>1845</v>
      </c>
    </row>
    <row r="232" customFormat="false" ht="15" hidden="false" customHeight="true" outlineLevel="0" collapsed="false">
      <c r="A232" s="6" t="s">
        <v>1322</v>
      </c>
      <c r="B232" s="6" t="n">
        <v>1</v>
      </c>
      <c r="C232" s="6" t="s">
        <v>1328</v>
      </c>
      <c r="D232" s="8" t="n">
        <v>650</v>
      </c>
      <c r="E232" s="8" t="n">
        <v>9900</v>
      </c>
      <c r="F232" s="8" t="n">
        <v>0</v>
      </c>
      <c r="G232" s="8" t="n">
        <v>0</v>
      </c>
      <c r="H232" s="6" t="n">
        <v>380</v>
      </c>
      <c r="I232" s="6" t="n">
        <v>380</v>
      </c>
      <c r="J232" s="6" t="n">
        <v>450</v>
      </c>
      <c r="K232" s="6" t="s">
        <v>1846</v>
      </c>
    </row>
    <row r="233" customFormat="false" ht="15" hidden="false" customHeight="true" outlineLevel="0" collapsed="false">
      <c r="A233" s="6" t="s">
        <v>1322</v>
      </c>
      <c r="B233" s="6" t="n">
        <v>2</v>
      </c>
      <c r="C233" s="6" t="s">
        <v>1328</v>
      </c>
      <c r="D233" s="8" t="n">
        <v>3400</v>
      </c>
      <c r="E233" s="8" t="n">
        <v>9350</v>
      </c>
      <c r="F233" s="8" t="n">
        <v>0</v>
      </c>
      <c r="G233" s="8" t="n">
        <v>0</v>
      </c>
      <c r="H233" s="6" t="n">
        <v>380</v>
      </c>
      <c r="I233" s="6" t="n">
        <v>380</v>
      </c>
      <c r="J233" s="6" t="n">
        <v>450</v>
      </c>
      <c r="K233" s="6" t="s">
        <v>1847</v>
      </c>
    </row>
    <row r="234" customFormat="false" ht="15" hidden="false" customHeight="true" outlineLevel="0" collapsed="false">
      <c r="A234" s="6" t="s">
        <v>1330</v>
      </c>
      <c r="B234" s="6" t="n">
        <v>1</v>
      </c>
      <c r="C234" s="6" t="s">
        <v>1333</v>
      </c>
      <c r="D234" s="8" t="n">
        <v>550</v>
      </c>
      <c r="E234" s="8" t="n">
        <v>11850</v>
      </c>
      <c r="F234" s="8" t="n">
        <v>0</v>
      </c>
      <c r="G234" s="8" t="n">
        <v>0</v>
      </c>
      <c r="H234" s="6" t="n">
        <v>560</v>
      </c>
      <c r="I234" s="6" t="n">
        <v>560</v>
      </c>
      <c r="J234" s="6" t="n">
        <v>1800</v>
      </c>
      <c r="K234" s="6" t="s">
        <v>1848</v>
      </c>
    </row>
    <row r="235" customFormat="false" ht="15" hidden="false" customHeight="true" outlineLevel="0" collapsed="false">
      <c r="A235" s="6" t="s">
        <v>1330</v>
      </c>
      <c r="B235" s="6" t="n">
        <v>2</v>
      </c>
      <c r="C235" s="6" t="s">
        <v>1333</v>
      </c>
      <c r="D235" s="8" t="n">
        <v>3700</v>
      </c>
      <c r="E235" s="8" t="n">
        <v>11850</v>
      </c>
      <c r="F235" s="8" t="n">
        <v>0</v>
      </c>
      <c r="G235" s="8" t="n">
        <v>0</v>
      </c>
      <c r="H235" s="6" t="n">
        <v>560</v>
      </c>
      <c r="I235" s="6" t="n">
        <v>560</v>
      </c>
      <c r="J235" s="6" t="n">
        <v>1800</v>
      </c>
      <c r="K235" s="6" t="s">
        <v>1849</v>
      </c>
    </row>
    <row r="236" customFormat="false" ht="15" hidden="false" customHeight="true" outlineLevel="0" collapsed="false">
      <c r="A236" s="6" t="s">
        <v>1335</v>
      </c>
      <c r="B236" s="6" t="n">
        <v>1</v>
      </c>
      <c r="C236" s="6" t="s">
        <v>1340</v>
      </c>
      <c r="D236" s="8" t="n">
        <v>2100</v>
      </c>
      <c r="E236" s="8" t="n">
        <v>9150</v>
      </c>
      <c r="F236" s="8" t="n">
        <v>0</v>
      </c>
      <c r="G236" s="8" t="n">
        <v>0</v>
      </c>
      <c r="H236" s="6" t="n">
        <v>500</v>
      </c>
      <c r="I236" s="6" t="n">
        <v>500</v>
      </c>
      <c r="J236" s="6" t="n">
        <v>400</v>
      </c>
      <c r="K236" s="6" t="s">
        <v>1850</v>
      </c>
    </row>
    <row r="237" customFormat="false" ht="15" hidden="false" customHeight="true" outlineLevel="0" collapsed="false">
      <c r="A237" s="6" t="s">
        <v>1342</v>
      </c>
      <c r="B237" s="6" t="n">
        <v>1</v>
      </c>
      <c r="C237" s="6" t="s">
        <v>1346</v>
      </c>
      <c r="D237" s="8" t="n">
        <v>3975</v>
      </c>
      <c r="E237" s="8" t="n">
        <v>10650</v>
      </c>
      <c r="F237" s="8" t="n">
        <v>0</v>
      </c>
      <c r="G237" s="8" t="n">
        <v>90</v>
      </c>
      <c r="H237" s="6" t="n">
        <v>1500</v>
      </c>
      <c r="I237" s="6" t="n">
        <v>40</v>
      </c>
      <c r="J237" s="6" t="n">
        <v>1800</v>
      </c>
      <c r="K237" s="6" t="s">
        <v>1851</v>
      </c>
    </row>
    <row r="238" customFormat="false" ht="15" hidden="false" customHeight="true" outlineLevel="0" collapsed="false">
      <c r="A238" s="6" t="s">
        <v>1348</v>
      </c>
      <c r="B238" s="6" t="n">
        <v>1</v>
      </c>
      <c r="C238" s="6" t="s">
        <v>1352</v>
      </c>
      <c r="D238" s="8" t="n">
        <v>3600</v>
      </c>
      <c r="E238" s="8" t="n">
        <v>8850</v>
      </c>
      <c r="F238" s="8" t="n">
        <v>0</v>
      </c>
      <c r="G238" s="8" t="n">
        <v>0</v>
      </c>
      <c r="H238" s="6" t="n">
        <v>500</v>
      </c>
      <c r="I238" s="6" t="n">
        <v>500</v>
      </c>
      <c r="J238" s="6" t="n">
        <v>600</v>
      </c>
      <c r="K238" s="6" t="s">
        <v>1852</v>
      </c>
    </row>
    <row r="239" customFormat="false" ht="15" hidden="false" customHeight="true" outlineLevel="0" collapsed="false">
      <c r="A239" s="6" t="s">
        <v>1348</v>
      </c>
      <c r="B239" s="6" t="n">
        <v>2</v>
      </c>
      <c r="C239" s="6" t="s">
        <v>1352</v>
      </c>
      <c r="D239" s="8" t="n">
        <v>450</v>
      </c>
      <c r="E239" s="8" t="n">
        <v>10900</v>
      </c>
      <c r="F239" s="8" t="n">
        <v>0</v>
      </c>
      <c r="G239" s="8" t="n">
        <v>0</v>
      </c>
      <c r="H239" s="6" t="n">
        <v>420</v>
      </c>
      <c r="I239" s="6" t="n">
        <v>420</v>
      </c>
      <c r="J239" s="6" t="n">
        <v>600</v>
      </c>
      <c r="K239" s="6" t="s">
        <v>1853</v>
      </c>
    </row>
    <row r="240" customFormat="false" ht="15" hidden="false" customHeight="true" outlineLevel="0" collapsed="false">
      <c r="A240" s="6" t="s">
        <v>1354</v>
      </c>
      <c r="B240" s="6" t="n">
        <v>1</v>
      </c>
      <c r="C240" s="6" t="s">
        <v>1357</v>
      </c>
      <c r="D240" s="8" t="n">
        <v>3770</v>
      </c>
      <c r="E240" s="8" t="n">
        <v>11000</v>
      </c>
      <c r="F240" s="8" t="n">
        <v>0</v>
      </c>
      <c r="G240" s="8" t="n">
        <v>0</v>
      </c>
      <c r="H240" s="6" t="n">
        <v>200</v>
      </c>
      <c r="I240" s="6" t="n">
        <v>200</v>
      </c>
      <c r="J240" s="6" t="n">
        <v>600</v>
      </c>
      <c r="K240" s="6" t="s">
        <v>1854</v>
      </c>
    </row>
    <row r="241" customFormat="false" ht="15" hidden="false" customHeight="true" outlineLevel="0" collapsed="false">
      <c r="A241" s="6" t="s">
        <v>1359</v>
      </c>
      <c r="B241" s="6" t="n">
        <v>1</v>
      </c>
      <c r="C241" s="6" t="s">
        <v>1366</v>
      </c>
      <c r="D241" s="8" t="n">
        <v>3300</v>
      </c>
      <c r="E241" s="8" t="n">
        <v>11500</v>
      </c>
      <c r="F241" s="8" t="n">
        <v>0</v>
      </c>
      <c r="G241" s="8" t="n">
        <v>0</v>
      </c>
      <c r="H241" s="6" t="n">
        <v>220</v>
      </c>
      <c r="I241" s="6" t="n">
        <v>220</v>
      </c>
      <c r="J241" s="6" t="n">
        <v>450</v>
      </c>
      <c r="K241" s="6" t="s">
        <v>1855</v>
      </c>
    </row>
    <row r="242" customFormat="false" ht="15" hidden="false" customHeight="true" outlineLevel="0" collapsed="false">
      <c r="A242" s="6" t="s">
        <v>1359</v>
      </c>
      <c r="B242" s="6" t="n">
        <v>2</v>
      </c>
      <c r="C242" s="6" t="s">
        <v>1366</v>
      </c>
      <c r="D242" s="8" t="n">
        <v>3300</v>
      </c>
      <c r="E242" s="8" t="n">
        <v>11250</v>
      </c>
      <c r="F242" s="8" t="n">
        <v>0</v>
      </c>
      <c r="G242" s="8" t="n">
        <v>0</v>
      </c>
      <c r="H242" s="6" t="n">
        <v>220</v>
      </c>
      <c r="I242" s="6" t="n">
        <v>220</v>
      </c>
      <c r="J242" s="6" t="n">
        <v>450</v>
      </c>
      <c r="K242" s="6" t="s">
        <v>1856</v>
      </c>
    </row>
    <row r="243" customFormat="false" ht="15" hidden="false" customHeight="true" outlineLevel="0" collapsed="false">
      <c r="A243" s="6" t="s">
        <v>1359</v>
      </c>
      <c r="B243" s="6" t="n">
        <v>3</v>
      </c>
      <c r="C243" s="6" t="s">
        <v>1366</v>
      </c>
      <c r="D243" s="8" t="n">
        <v>3300</v>
      </c>
      <c r="E243" s="8" t="n">
        <v>11000</v>
      </c>
      <c r="F243" s="8" t="n">
        <v>0</v>
      </c>
      <c r="G243" s="8" t="n">
        <v>0</v>
      </c>
      <c r="H243" s="6" t="n">
        <v>220</v>
      </c>
      <c r="I243" s="6" t="n">
        <v>220</v>
      </c>
      <c r="J243" s="6" t="n">
        <v>450</v>
      </c>
      <c r="K243" s="6" t="s">
        <v>1857</v>
      </c>
    </row>
    <row r="244" customFormat="false" ht="15" hidden="false" customHeight="true" outlineLevel="0" collapsed="false">
      <c r="A244" s="6" t="s">
        <v>1368</v>
      </c>
      <c r="B244" s="6" t="n">
        <v>1</v>
      </c>
      <c r="C244" s="6" t="s">
        <v>1372</v>
      </c>
      <c r="D244" s="8" t="n">
        <v>800</v>
      </c>
      <c r="E244" s="8" t="n">
        <v>11300</v>
      </c>
      <c r="F244" s="8" t="n">
        <v>0</v>
      </c>
      <c r="G244" s="8" t="n">
        <v>0</v>
      </c>
      <c r="H244" s="6" t="n">
        <v>350</v>
      </c>
      <c r="I244" s="6" t="n">
        <v>350</v>
      </c>
      <c r="J244" s="6" t="n">
        <v>600</v>
      </c>
      <c r="K244" s="6" t="s">
        <v>1858</v>
      </c>
    </row>
    <row r="245" customFormat="false" ht="15" hidden="false" customHeight="true" outlineLevel="0" collapsed="false">
      <c r="A245" s="6" t="s">
        <v>1374</v>
      </c>
      <c r="B245" s="6" t="n">
        <v>1</v>
      </c>
      <c r="C245" s="6" t="s">
        <v>1379</v>
      </c>
      <c r="D245" s="8" t="n">
        <v>2135</v>
      </c>
      <c r="E245" s="8" t="n">
        <v>10374</v>
      </c>
      <c r="F245" s="8" t="n">
        <v>0</v>
      </c>
      <c r="G245" s="8" t="n">
        <v>0</v>
      </c>
      <c r="H245" s="6" t="n">
        <v>3810</v>
      </c>
      <c r="I245" s="6" t="n">
        <v>3733</v>
      </c>
      <c r="J245" s="6" t="n">
        <v>0</v>
      </c>
      <c r="K245" s="6" t="s">
        <v>1859</v>
      </c>
    </row>
    <row r="246" customFormat="false" ht="15" hidden="false" customHeight="true" outlineLevel="0" collapsed="false">
      <c r="A246" s="6" t="s">
        <v>1381</v>
      </c>
      <c r="B246" s="6" t="n">
        <v>1</v>
      </c>
      <c r="C246" s="6" t="s">
        <v>1385</v>
      </c>
      <c r="D246" s="8" t="n">
        <v>2135</v>
      </c>
      <c r="E246" s="8" t="n">
        <v>10374</v>
      </c>
      <c r="F246" s="8" t="n">
        <v>0</v>
      </c>
      <c r="G246" s="8" t="n">
        <v>0</v>
      </c>
      <c r="H246" s="6" t="n">
        <v>3810</v>
      </c>
      <c r="I246" s="6" t="n">
        <v>3733</v>
      </c>
      <c r="J246" s="6" t="n">
        <v>15</v>
      </c>
      <c r="K246" s="6" t="s">
        <v>1860</v>
      </c>
    </row>
    <row r="247" customFormat="false" ht="15" hidden="false" customHeight="true" outlineLevel="0" collapsed="false">
      <c r="A247" s="6" t="s">
        <v>1387</v>
      </c>
      <c r="B247" s="6" t="n">
        <v>1</v>
      </c>
      <c r="C247" s="6" t="s">
        <v>1393</v>
      </c>
      <c r="D247" s="8" t="n">
        <v>2150</v>
      </c>
      <c r="E247" s="8" t="n">
        <v>10400</v>
      </c>
      <c r="F247" s="8" t="n">
        <v>2750</v>
      </c>
      <c r="G247" s="8" t="n">
        <v>0</v>
      </c>
      <c r="H247" s="6" t="n">
        <v>3500</v>
      </c>
      <c r="I247" s="6" t="n">
        <v>3400</v>
      </c>
      <c r="J247" s="6" t="n">
        <v>60</v>
      </c>
      <c r="K247" s="6" t="s">
        <v>1861</v>
      </c>
    </row>
    <row r="248" customFormat="false" ht="15" hidden="false" customHeight="true" outlineLevel="0" collapsed="false">
      <c r="A248" s="6" t="s">
        <v>1395</v>
      </c>
      <c r="B248" s="6" t="n">
        <v>1</v>
      </c>
      <c r="C248" s="6" t="s">
        <v>1402</v>
      </c>
      <c r="D248" s="8" t="n">
        <v>550</v>
      </c>
      <c r="E248" s="8" t="n">
        <v>11850</v>
      </c>
      <c r="F248" s="8" t="n">
        <v>0</v>
      </c>
      <c r="G248" s="8" t="n">
        <v>0</v>
      </c>
      <c r="H248" s="6" t="n">
        <v>820</v>
      </c>
      <c r="I248" s="6" t="n">
        <v>820</v>
      </c>
      <c r="J248" s="6" t="n">
        <v>40</v>
      </c>
      <c r="K248" s="6" t="s">
        <v>1862</v>
      </c>
    </row>
    <row r="249" customFormat="false" ht="15" hidden="false" customHeight="true" outlineLevel="0" collapsed="false">
      <c r="A249" s="6" t="s">
        <v>1395</v>
      </c>
      <c r="B249" s="6" t="n">
        <v>2</v>
      </c>
      <c r="C249" s="6" t="s">
        <v>1402</v>
      </c>
      <c r="D249" s="8" t="n">
        <v>3700</v>
      </c>
      <c r="E249" s="8" t="n">
        <v>11850</v>
      </c>
      <c r="F249" s="8" t="n">
        <v>0</v>
      </c>
      <c r="G249" s="8" t="n">
        <v>0</v>
      </c>
      <c r="H249" s="6" t="n">
        <v>820</v>
      </c>
      <c r="I249" s="6" t="n">
        <v>820</v>
      </c>
      <c r="J249" s="6" t="n">
        <v>40</v>
      </c>
      <c r="K249" s="6" t="s">
        <v>1863</v>
      </c>
    </row>
    <row r="250" customFormat="false" ht="15" hidden="false" customHeight="true" outlineLevel="0" collapsed="false">
      <c r="A250" s="6" t="s">
        <v>1404</v>
      </c>
      <c r="B250" s="6" t="n">
        <v>1</v>
      </c>
      <c r="C250" s="6" t="s">
        <v>1408</v>
      </c>
      <c r="D250" s="8" t="n">
        <v>1600</v>
      </c>
      <c r="E250" s="8" t="n">
        <v>12200</v>
      </c>
      <c r="F250" s="8" t="n">
        <v>1500</v>
      </c>
      <c r="G250" s="8" t="n">
        <v>0</v>
      </c>
      <c r="H250" s="6" t="n">
        <v>220</v>
      </c>
      <c r="I250" s="6" t="n">
        <v>220</v>
      </c>
      <c r="J250" s="6" t="n">
        <v>200</v>
      </c>
      <c r="K250" s="6" t="s">
        <v>1864</v>
      </c>
    </row>
    <row r="251" customFormat="false" ht="15" hidden="false" customHeight="true" outlineLevel="0" collapsed="false">
      <c r="A251" s="6" t="s">
        <v>1404</v>
      </c>
      <c r="B251" s="6" t="n">
        <v>2</v>
      </c>
      <c r="C251" s="6" t="s">
        <v>1408</v>
      </c>
      <c r="D251" s="8" t="n">
        <v>3000</v>
      </c>
      <c r="E251" s="8" t="n">
        <v>12200</v>
      </c>
      <c r="F251" s="8" t="n">
        <v>1500</v>
      </c>
      <c r="G251" s="8" t="n">
        <v>0</v>
      </c>
      <c r="H251" s="6" t="n">
        <v>220</v>
      </c>
      <c r="I251" s="6" t="n">
        <v>220</v>
      </c>
      <c r="J251" s="6" t="n">
        <v>200</v>
      </c>
      <c r="K251" s="6" t="s">
        <v>1865</v>
      </c>
    </row>
    <row r="252" customFormat="false" ht="15" hidden="false" customHeight="true" outlineLevel="0" collapsed="false">
      <c r="A252" s="6" t="s">
        <v>1410</v>
      </c>
      <c r="B252" s="6" t="n">
        <v>1</v>
      </c>
      <c r="C252" s="6" t="s">
        <v>799</v>
      </c>
      <c r="D252" s="8" t="n">
        <v>550</v>
      </c>
      <c r="E252" s="8" t="n">
        <v>11850</v>
      </c>
      <c r="F252" s="8" t="n">
        <v>2750</v>
      </c>
      <c r="G252" s="8" t="n">
        <v>0</v>
      </c>
      <c r="H252" s="6" t="n">
        <v>150</v>
      </c>
      <c r="I252" s="6" t="n">
        <v>150</v>
      </c>
      <c r="J252" s="6" t="n">
        <v>80</v>
      </c>
      <c r="K252" s="6" t="s">
        <v>1866</v>
      </c>
    </row>
    <row r="253" customFormat="false" ht="15" hidden="false" customHeight="true" outlineLevel="0" collapsed="false">
      <c r="A253" s="6" t="s">
        <v>1410</v>
      </c>
      <c r="B253" s="6" t="n">
        <v>2</v>
      </c>
      <c r="C253" s="6" t="s">
        <v>799</v>
      </c>
      <c r="D253" s="8" t="n">
        <v>3700</v>
      </c>
      <c r="E253" s="8" t="n">
        <v>11850</v>
      </c>
      <c r="F253" s="8" t="n">
        <v>2750</v>
      </c>
      <c r="G253" s="8" t="n">
        <v>0</v>
      </c>
      <c r="H253" s="6" t="n">
        <v>150</v>
      </c>
      <c r="I253" s="6" t="n">
        <v>150</v>
      </c>
      <c r="J253" s="6" t="n">
        <v>80</v>
      </c>
      <c r="K253" s="6" t="s">
        <v>1867</v>
      </c>
    </row>
    <row r="254" customFormat="false" ht="15" hidden="false" customHeight="true" outlineLevel="0" collapsed="false">
      <c r="A254" s="6" t="s">
        <v>1416</v>
      </c>
      <c r="B254" s="6" t="n">
        <v>1</v>
      </c>
      <c r="C254" s="6" t="s">
        <v>805</v>
      </c>
      <c r="D254" s="8" t="n">
        <v>3900</v>
      </c>
      <c r="E254" s="8" t="n">
        <v>10650</v>
      </c>
      <c r="F254" s="8" t="n">
        <v>2750</v>
      </c>
      <c r="G254" s="8" t="n">
        <v>0</v>
      </c>
      <c r="H254" s="6" t="n">
        <v>200</v>
      </c>
      <c r="I254" s="6" t="n">
        <v>200</v>
      </c>
      <c r="J254" s="6" t="n">
        <v>80</v>
      </c>
      <c r="K254" s="6" t="s">
        <v>1868</v>
      </c>
    </row>
    <row r="255" customFormat="false" ht="15" hidden="false" customHeight="true" outlineLevel="0" collapsed="false">
      <c r="A255" s="6" t="s">
        <v>1421</v>
      </c>
      <c r="B255" s="6" t="n">
        <v>1</v>
      </c>
      <c r="C255" s="6" t="s">
        <v>1425</v>
      </c>
      <c r="D255" s="8" t="n">
        <v>2100</v>
      </c>
      <c r="E255" s="8" t="n">
        <v>9900</v>
      </c>
      <c r="F255" s="8" t="n">
        <v>0</v>
      </c>
      <c r="G255" s="8" t="n">
        <v>0</v>
      </c>
      <c r="H255" s="6" t="n">
        <v>2600</v>
      </c>
      <c r="I255" s="6" t="n">
        <v>1200</v>
      </c>
      <c r="J255" s="6" t="n">
        <v>12</v>
      </c>
      <c r="K255" s="6" t="s">
        <v>1869</v>
      </c>
    </row>
    <row r="256" customFormat="false" ht="15" hidden="false" customHeight="true" outlineLevel="0" collapsed="false">
      <c r="A256" s="6" t="s">
        <v>1427</v>
      </c>
      <c r="B256" s="6" t="n">
        <v>1</v>
      </c>
      <c r="C256" s="6" t="s">
        <v>307</v>
      </c>
      <c r="D256" s="8" t="n">
        <v>1300</v>
      </c>
      <c r="E256" s="8" t="n">
        <v>9900</v>
      </c>
      <c r="F256" s="8" t="s">
        <v>170</v>
      </c>
      <c r="G256" s="8" t="n">
        <v>0</v>
      </c>
      <c r="H256" s="6" t="n">
        <v>250</v>
      </c>
      <c r="I256" s="6" t="n">
        <v>250</v>
      </c>
      <c r="J256" s="6" t="n">
        <v>150</v>
      </c>
      <c r="K256" s="6" t="s">
        <v>1870</v>
      </c>
    </row>
    <row r="257" customFormat="false" ht="15" hidden="false" customHeight="true" outlineLevel="0" collapsed="false">
      <c r="A257" s="6" t="s">
        <v>1431</v>
      </c>
      <c r="B257" s="6" t="n">
        <v>1</v>
      </c>
      <c r="C257" s="6" t="s">
        <v>1435</v>
      </c>
      <c r="D257" s="8" t="n">
        <v>250</v>
      </c>
      <c r="E257" s="8" t="n">
        <v>10400</v>
      </c>
      <c r="F257" s="8" t="n">
        <v>0</v>
      </c>
      <c r="G257" s="8" t="n">
        <v>270</v>
      </c>
      <c r="H257" s="6" t="n">
        <v>3400</v>
      </c>
      <c r="I257" s="6" t="n">
        <v>40</v>
      </c>
      <c r="J257" s="6" t="n">
        <v>2700</v>
      </c>
      <c r="K257" s="6" t="s">
        <v>1871</v>
      </c>
    </row>
    <row r="258" customFormat="false" ht="15" hidden="false" customHeight="true" outlineLevel="0" collapsed="false">
      <c r="A258" s="6" t="s">
        <v>1437</v>
      </c>
      <c r="B258" s="6" t="n">
        <v>1</v>
      </c>
      <c r="C258" s="6" t="s">
        <v>1440</v>
      </c>
      <c r="D258" s="8" t="n">
        <v>12200</v>
      </c>
      <c r="E258" s="8" t="n">
        <v>9600</v>
      </c>
      <c r="F258" s="8" t="n">
        <v>0</v>
      </c>
      <c r="G258" s="8" t="n">
        <v>90</v>
      </c>
      <c r="H258" s="6" t="n">
        <v>700</v>
      </c>
      <c r="I258" s="6" t="n">
        <v>700</v>
      </c>
      <c r="J258" s="6" t="n">
        <v>750</v>
      </c>
      <c r="K258" s="6" t="s">
        <v>1872</v>
      </c>
    </row>
    <row r="259" customFormat="false" ht="15" hidden="false" customHeight="true" outlineLevel="0" collapsed="false">
      <c r="A259" s="6" t="s">
        <v>1437</v>
      </c>
      <c r="B259" s="6" t="n">
        <v>2</v>
      </c>
      <c r="C259" s="6" t="s">
        <v>1440</v>
      </c>
      <c r="D259" s="8" t="n">
        <v>12200</v>
      </c>
      <c r="E259" s="8" t="n">
        <v>11050</v>
      </c>
      <c r="F259" s="8" t="n">
        <v>0</v>
      </c>
      <c r="G259" s="8" t="n">
        <v>90</v>
      </c>
      <c r="H259" s="6" t="n">
        <v>700</v>
      </c>
      <c r="I259" s="6" t="n">
        <v>700</v>
      </c>
      <c r="J259" s="6" t="n">
        <v>750</v>
      </c>
      <c r="K259" s="6" t="s">
        <v>1873</v>
      </c>
    </row>
    <row r="260" customFormat="false" ht="15" hidden="false" customHeight="true" outlineLevel="0" collapsed="false">
      <c r="A260" s="6" t="s">
        <v>1442</v>
      </c>
      <c r="B260" s="6" t="n">
        <v>1</v>
      </c>
      <c r="C260" s="6" t="s">
        <v>1446</v>
      </c>
      <c r="D260" s="8" t="n">
        <v>12200</v>
      </c>
      <c r="E260" s="8" t="n">
        <v>10320</v>
      </c>
      <c r="F260" s="8" t="n">
        <v>0</v>
      </c>
      <c r="G260" s="8" t="n">
        <v>0</v>
      </c>
      <c r="H260" s="6" t="n">
        <v>400</v>
      </c>
      <c r="I260" s="6" t="n">
        <v>400</v>
      </c>
      <c r="J260" s="6" t="n">
        <v>450</v>
      </c>
      <c r="K260" s="6" t="s">
        <v>1874</v>
      </c>
    </row>
    <row r="261" customFormat="false" ht="15" hidden="false" customHeight="true" outlineLevel="0" collapsed="false">
      <c r="A261" s="6" t="s">
        <v>1448</v>
      </c>
      <c r="B261" s="6" t="n">
        <v>1</v>
      </c>
      <c r="C261" s="6" t="s">
        <v>1451</v>
      </c>
      <c r="D261" s="8" t="n">
        <v>12858</v>
      </c>
      <c r="E261" s="8" t="n">
        <v>10375</v>
      </c>
      <c r="F261" s="8" t="n">
        <v>0</v>
      </c>
      <c r="G261" s="8" t="n">
        <v>90</v>
      </c>
      <c r="H261" s="6" t="n">
        <v>3350</v>
      </c>
      <c r="I261" s="6" t="n">
        <v>205</v>
      </c>
      <c r="J261" s="6" t="n">
        <v>400</v>
      </c>
      <c r="K261" s="6" t="s">
        <v>1875</v>
      </c>
    </row>
    <row r="262" customFormat="false" ht="15" hidden="false" customHeight="true" outlineLevel="0" collapsed="false">
      <c r="A262" s="6" t="s">
        <v>1453</v>
      </c>
      <c r="B262" s="6" t="n">
        <v>1</v>
      </c>
      <c r="C262" s="6" t="s">
        <v>1460</v>
      </c>
      <c r="D262" s="8" t="n">
        <v>12375</v>
      </c>
      <c r="E262" s="8" t="n">
        <v>12220</v>
      </c>
      <c r="F262" s="8" t="n">
        <v>0</v>
      </c>
      <c r="G262" s="8" t="n">
        <v>180</v>
      </c>
      <c r="H262" s="6" t="n">
        <v>1050</v>
      </c>
      <c r="I262" s="6" t="n">
        <v>40</v>
      </c>
      <c r="J262" s="6" t="n">
        <v>1800</v>
      </c>
      <c r="K262" s="6" t="s">
        <v>1876</v>
      </c>
    </row>
    <row r="263" customFormat="false" ht="15" hidden="false" customHeight="true" outlineLevel="0" collapsed="false">
      <c r="A263" s="6" t="s">
        <v>1462</v>
      </c>
      <c r="B263" s="6" t="n">
        <v>1</v>
      </c>
      <c r="C263" s="6" t="s">
        <v>1465</v>
      </c>
      <c r="D263" s="8" t="n">
        <v>12100</v>
      </c>
      <c r="E263" s="8" t="n">
        <v>8850</v>
      </c>
      <c r="F263" s="8" t="n">
        <v>0</v>
      </c>
      <c r="G263" s="8" t="n">
        <v>0</v>
      </c>
      <c r="H263" s="6" t="n">
        <v>450</v>
      </c>
      <c r="I263" s="6" t="n">
        <v>450</v>
      </c>
      <c r="J263" s="6" t="n">
        <v>600</v>
      </c>
      <c r="K263" s="6" t="s">
        <v>1877</v>
      </c>
    </row>
    <row r="264" customFormat="false" ht="15" hidden="false" customHeight="true" outlineLevel="0" collapsed="false">
      <c r="A264" s="6" t="s">
        <v>1467</v>
      </c>
      <c r="B264" s="6" t="n">
        <v>1</v>
      </c>
      <c r="C264" s="6" t="s">
        <v>174</v>
      </c>
      <c r="D264" s="8" t="n">
        <v>12500</v>
      </c>
      <c r="E264" s="8" t="n">
        <v>11700</v>
      </c>
      <c r="F264" s="8" t="s">
        <v>170</v>
      </c>
      <c r="G264" s="8" t="n">
        <v>0</v>
      </c>
      <c r="H264" s="6" t="n">
        <v>250</v>
      </c>
      <c r="I264" s="6" t="n">
        <v>250</v>
      </c>
      <c r="J264" s="6" t="n">
        <v>150</v>
      </c>
      <c r="K264" s="6" t="s">
        <v>1878</v>
      </c>
    </row>
    <row r="265" customFormat="false" ht="15" hidden="false" customHeight="true" outlineLevel="0" collapsed="false">
      <c r="A265" s="6" t="s">
        <v>1473</v>
      </c>
      <c r="B265" s="6" t="n">
        <v>1</v>
      </c>
      <c r="C265" s="6" t="s">
        <v>1476</v>
      </c>
      <c r="D265" s="8" t="n">
        <v>11950</v>
      </c>
      <c r="E265" s="8" t="n">
        <v>11700</v>
      </c>
      <c r="F265" s="8" t="n">
        <v>0</v>
      </c>
      <c r="G265" s="8" t="n">
        <v>0</v>
      </c>
      <c r="H265" s="6" t="n">
        <v>160</v>
      </c>
      <c r="I265" s="6" t="n">
        <v>160</v>
      </c>
      <c r="J265" s="6" t="n">
        <v>450</v>
      </c>
      <c r="K265" s="6" t="s">
        <v>1879</v>
      </c>
    </row>
    <row r="266" customFormat="false" ht="15" hidden="false" customHeight="true" outlineLevel="0" collapsed="false">
      <c r="A266" s="6" t="s">
        <v>1473</v>
      </c>
      <c r="B266" s="6" t="n">
        <v>2</v>
      </c>
      <c r="C266" s="6" t="s">
        <v>1476</v>
      </c>
      <c r="D266" s="8" t="n">
        <v>11950</v>
      </c>
      <c r="E266" s="8" t="n">
        <v>12000</v>
      </c>
      <c r="F266" s="8" t="n">
        <v>0</v>
      </c>
      <c r="G266" s="8" t="n">
        <v>0</v>
      </c>
      <c r="H266" s="6" t="n">
        <v>160</v>
      </c>
      <c r="I266" s="6" t="n">
        <v>160</v>
      </c>
      <c r="J266" s="6" t="n">
        <v>450</v>
      </c>
      <c r="K266" s="6" t="s">
        <v>1880</v>
      </c>
    </row>
    <row r="267" customFormat="false" ht="15" hidden="false" customHeight="true" outlineLevel="0" collapsed="false">
      <c r="A267" s="6" t="s">
        <v>1478</v>
      </c>
      <c r="B267" s="6" t="n">
        <v>1</v>
      </c>
      <c r="C267" s="6" t="s">
        <v>1481</v>
      </c>
      <c r="D267" s="8" t="n">
        <v>12378</v>
      </c>
      <c r="E267" s="8" t="n">
        <v>10374</v>
      </c>
      <c r="F267" s="8" t="n">
        <v>0</v>
      </c>
      <c r="G267" s="8" t="n">
        <v>0</v>
      </c>
      <c r="H267" s="6" t="n">
        <v>3733</v>
      </c>
      <c r="I267" s="6" t="n">
        <v>1255</v>
      </c>
      <c r="J267" s="6" t="n">
        <v>0</v>
      </c>
      <c r="K267" s="6" t="s">
        <v>1881</v>
      </c>
    </row>
    <row r="268" customFormat="false" ht="15" hidden="false" customHeight="true" outlineLevel="0" collapsed="false">
      <c r="A268" s="6" t="s">
        <v>1483</v>
      </c>
      <c r="B268" s="6" t="n">
        <v>1</v>
      </c>
      <c r="C268" s="6" t="s">
        <v>1487</v>
      </c>
      <c r="D268" s="8" t="n">
        <v>12378</v>
      </c>
      <c r="E268" s="8" t="n">
        <v>10374</v>
      </c>
      <c r="F268" s="8" t="n">
        <v>0</v>
      </c>
      <c r="G268" s="8" t="n">
        <v>0</v>
      </c>
      <c r="H268" s="6" t="n">
        <v>3733</v>
      </c>
      <c r="I268" s="6" t="n">
        <v>1255</v>
      </c>
      <c r="J268" s="6" t="n">
        <v>15</v>
      </c>
      <c r="K268" s="6" t="s">
        <v>1882</v>
      </c>
    </row>
    <row r="269" customFormat="false" ht="15" hidden="false" customHeight="true" outlineLevel="0" collapsed="false">
      <c r="A269" s="6" t="s">
        <v>1489</v>
      </c>
      <c r="B269" s="6" t="n">
        <v>1</v>
      </c>
      <c r="C269" s="6" t="s">
        <v>1491</v>
      </c>
      <c r="D269" s="8" t="n">
        <v>12375</v>
      </c>
      <c r="E269" s="8" t="n">
        <v>10370</v>
      </c>
      <c r="F269" s="8" t="n">
        <v>2750</v>
      </c>
      <c r="G269" s="8" t="n">
        <v>0</v>
      </c>
      <c r="H269" s="6" t="n">
        <v>3640</v>
      </c>
      <c r="I269" s="6" t="n">
        <v>1150</v>
      </c>
      <c r="J269" s="6" t="n">
        <v>60</v>
      </c>
      <c r="K269" s="6" t="s">
        <v>1883</v>
      </c>
    </row>
    <row r="270" customFormat="false" ht="15" hidden="false" customHeight="true" outlineLevel="0" collapsed="false">
      <c r="A270" s="6" t="s">
        <v>1493</v>
      </c>
      <c r="B270" s="6" t="n">
        <v>1</v>
      </c>
      <c r="C270" s="6" t="s">
        <v>281</v>
      </c>
      <c r="D270" s="8" t="n">
        <v>12400</v>
      </c>
      <c r="E270" s="8" t="n">
        <v>12150</v>
      </c>
      <c r="F270" s="8" t="n">
        <v>1500</v>
      </c>
      <c r="G270" s="8" t="n">
        <v>0</v>
      </c>
      <c r="H270" s="6" t="n">
        <v>200</v>
      </c>
      <c r="I270" s="6" t="n">
        <v>200</v>
      </c>
      <c r="J270" s="6" t="n">
        <v>200</v>
      </c>
      <c r="K270" s="6" t="s">
        <v>1884</v>
      </c>
    </row>
    <row r="271" customFormat="false" ht="15" hidden="false" customHeight="true" outlineLevel="0" collapsed="false">
      <c r="A271" s="6" t="s">
        <v>1497</v>
      </c>
      <c r="B271" s="6" t="n">
        <v>1</v>
      </c>
      <c r="C271" s="6" t="s">
        <v>666</v>
      </c>
      <c r="D271" s="8" t="n">
        <v>12600</v>
      </c>
      <c r="E271" s="8" t="n">
        <v>12000</v>
      </c>
      <c r="F271" s="8" t="n">
        <v>2750</v>
      </c>
      <c r="G271" s="8" t="n">
        <v>0</v>
      </c>
      <c r="H271" s="6" t="n">
        <v>160</v>
      </c>
      <c r="I271" s="6" t="n">
        <v>160</v>
      </c>
      <c r="J271" s="6" t="n">
        <v>80</v>
      </c>
      <c r="K271" s="6" t="s">
        <v>1885</v>
      </c>
    </row>
    <row r="272" customFormat="false" ht="15" hidden="false" customHeight="true" outlineLevel="0" collapsed="false">
      <c r="A272" s="6" t="s">
        <v>1501</v>
      </c>
      <c r="B272" s="6" t="n">
        <v>1</v>
      </c>
      <c r="C272" s="6" t="s">
        <v>307</v>
      </c>
      <c r="D272" s="8" t="n">
        <v>12200</v>
      </c>
      <c r="E272" s="8" t="n">
        <v>9600</v>
      </c>
      <c r="F272" s="8" t="s">
        <v>170</v>
      </c>
      <c r="G272" s="8" t="n">
        <v>0</v>
      </c>
      <c r="H272" s="6" t="n">
        <v>250</v>
      </c>
      <c r="I272" s="6" t="n">
        <v>250</v>
      </c>
      <c r="J272" s="6" t="n">
        <v>150</v>
      </c>
      <c r="K272" s="6" t="s">
        <v>1886</v>
      </c>
    </row>
    <row r="273" customFormat="false" ht="15" hidden="false" customHeight="true" outlineLevel="0" collapsed="false">
      <c r="A273" s="6" t="s">
        <v>1505</v>
      </c>
      <c r="B273" s="6" t="n">
        <v>1</v>
      </c>
      <c r="C273" s="6" t="s">
        <v>1512</v>
      </c>
      <c r="D273" s="8" t="n">
        <v>5324</v>
      </c>
      <c r="E273" s="8" t="n">
        <v>2394</v>
      </c>
      <c r="F273" s="8" t="n">
        <v>0</v>
      </c>
      <c r="G273" s="8" t="n">
        <v>0</v>
      </c>
      <c r="H273" s="6" t="n">
        <v>4329</v>
      </c>
      <c r="I273" s="6" t="n">
        <v>2173</v>
      </c>
      <c r="J273" s="6" t="n">
        <v>3348</v>
      </c>
      <c r="K273" s="6" t="s">
        <v>1887</v>
      </c>
    </row>
    <row r="274" customFormat="false" ht="15" hidden="false" customHeight="true" outlineLevel="0" collapsed="false">
      <c r="A274" s="6" t="s">
        <v>1514</v>
      </c>
      <c r="B274" s="6" t="n">
        <v>1</v>
      </c>
      <c r="C274" s="6" t="s">
        <v>1517</v>
      </c>
      <c r="D274" s="8" t="n">
        <v>4550</v>
      </c>
      <c r="E274" s="8" t="n">
        <v>600</v>
      </c>
      <c r="F274" s="8" t="n">
        <v>0</v>
      </c>
      <c r="G274" s="8" t="n">
        <v>0</v>
      </c>
      <c r="H274" s="6" t="n">
        <v>420</v>
      </c>
      <c r="I274" s="6" t="n">
        <v>420</v>
      </c>
      <c r="J274" s="6" t="n">
        <v>600</v>
      </c>
      <c r="K274" s="6" t="s">
        <v>1888</v>
      </c>
    </row>
    <row r="275" customFormat="false" ht="15" hidden="false" customHeight="true" outlineLevel="0" collapsed="false">
      <c r="A275" s="6" t="s">
        <v>1520</v>
      </c>
      <c r="B275" s="6" t="n">
        <v>1</v>
      </c>
      <c r="C275" s="6" t="s">
        <v>1523</v>
      </c>
      <c r="D275" s="8" t="n">
        <v>4258</v>
      </c>
      <c r="E275" s="8" t="n">
        <v>700</v>
      </c>
      <c r="F275" s="8" t="n">
        <v>1100</v>
      </c>
      <c r="G275" s="8" t="n">
        <v>270</v>
      </c>
      <c r="H275" s="6" t="n">
        <v>600</v>
      </c>
      <c r="I275" s="6" t="n">
        <v>40</v>
      </c>
      <c r="J275" s="6" t="n">
        <v>800</v>
      </c>
      <c r="K275" s="6" t="s">
        <v>1889</v>
      </c>
    </row>
    <row r="276" customFormat="false" ht="15" hidden="false" customHeight="true" outlineLevel="0" collapsed="false">
      <c r="A276" s="6" t="s">
        <v>1525</v>
      </c>
      <c r="B276" s="6" t="n">
        <v>1</v>
      </c>
      <c r="C276" s="6" t="s">
        <v>1528</v>
      </c>
      <c r="D276" s="8" t="n">
        <v>4258</v>
      </c>
      <c r="E276" s="8" t="n">
        <v>2750</v>
      </c>
      <c r="F276" s="8" t="n">
        <v>1175</v>
      </c>
      <c r="G276" s="8" t="n">
        <v>270</v>
      </c>
      <c r="H276" s="6" t="n">
        <v>2300</v>
      </c>
      <c r="I276" s="6" t="n">
        <v>40</v>
      </c>
      <c r="J276" s="6" t="n">
        <v>650</v>
      </c>
      <c r="K276" s="6" t="s">
        <v>1890</v>
      </c>
    </row>
    <row r="277" customFormat="false" ht="15" hidden="false" customHeight="true" outlineLevel="0" collapsed="false">
      <c r="A277" s="6" t="s">
        <v>1530</v>
      </c>
      <c r="B277" s="6" t="n">
        <v>1</v>
      </c>
      <c r="C277" s="6" t="s">
        <v>1534</v>
      </c>
      <c r="D277" s="8" t="n">
        <v>5350</v>
      </c>
      <c r="E277" s="8" t="n">
        <v>250</v>
      </c>
      <c r="F277" s="8" t="n">
        <v>0</v>
      </c>
      <c r="G277" s="8" t="n">
        <v>0</v>
      </c>
      <c r="H277" s="6" t="n">
        <v>700</v>
      </c>
      <c r="I277" s="6" t="n">
        <v>40</v>
      </c>
      <c r="J277" s="6" t="n">
        <v>900</v>
      </c>
      <c r="K277" s="6" t="s">
        <v>1891</v>
      </c>
    </row>
    <row r="278" customFormat="false" ht="15" hidden="false" customHeight="true" outlineLevel="0" collapsed="false">
      <c r="A278" s="6" t="s">
        <v>1536</v>
      </c>
      <c r="B278" s="6" t="n">
        <v>1</v>
      </c>
      <c r="C278" s="6" t="s">
        <v>1540</v>
      </c>
      <c r="D278" s="8" t="n">
        <v>5324</v>
      </c>
      <c r="E278" s="8" t="n">
        <v>2394</v>
      </c>
      <c r="F278" s="8" t="n">
        <v>0</v>
      </c>
      <c r="G278" s="8" t="n">
        <v>0</v>
      </c>
      <c r="H278" s="6" t="n">
        <v>4329</v>
      </c>
      <c r="I278" s="6" t="n">
        <v>2173</v>
      </c>
      <c r="J278" s="6" t="n">
        <v>0</v>
      </c>
      <c r="K278" s="6" t="s">
        <v>1892</v>
      </c>
    </row>
    <row r="279" customFormat="false" ht="15" hidden="false" customHeight="true" outlineLevel="0" collapsed="false">
      <c r="A279" s="6" t="s">
        <v>1542</v>
      </c>
      <c r="B279" s="6" t="n">
        <v>1</v>
      </c>
      <c r="C279" s="6" t="s">
        <v>1165</v>
      </c>
      <c r="D279" s="8" t="n">
        <v>4800</v>
      </c>
      <c r="E279" s="8" t="n">
        <v>2500</v>
      </c>
      <c r="F279" s="8" t="n">
        <v>0</v>
      </c>
      <c r="G279" s="8" t="n">
        <v>0</v>
      </c>
      <c r="H279" s="6" t="n">
        <v>250</v>
      </c>
      <c r="I279" s="6" t="n">
        <v>250</v>
      </c>
      <c r="J279" s="6" t="n">
        <v>5</v>
      </c>
      <c r="K279" s="6" t="s">
        <v>1893</v>
      </c>
    </row>
    <row r="280" customFormat="false" ht="15" hidden="false" customHeight="true" outlineLevel="0" collapsed="false">
      <c r="A280" s="6" t="s">
        <v>1546</v>
      </c>
      <c r="B280" s="6" t="n">
        <v>1</v>
      </c>
      <c r="C280" s="6" t="s">
        <v>1550</v>
      </c>
      <c r="D280" s="8" t="n">
        <v>6390</v>
      </c>
      <c r="E280" s="8" t="n">
        <v>2750</v>
      </c>
      <c r="F280" s="8" t="s">
        <v>170</v>
      </c>
      <c r="G280" s="8" t="n">
        <v>90</v>
      </c>
      <c r="H280" s="6" t="n">
        <v>3100</v>
      </c>
      <c r="I280" s="6" t="n">
        <v>41</v>
      </c>
      <c r="J280" s="6" t="n">
        <v>10</v>
      </c>
      <c r="K280" s="6" t="s">
        <v>1894</v>
      </c>
    </row>
    <row r="281" customFormat="false" ht="15" hidden="false" customHeight="true" outlineLevel="0" collapsed="false">
      <c r="A281" s="6" t="s">
        <v>1552</v>
      </c>
      <c r="B281" s="6" t="n">
        <v>1</v>
      </c>
      <c r="C281" s="6" t="s">
        <v>655</v>
      </c>
      <c r="D281" s="8" t="n">
        <v>4310</v>
      </c>
      <c r="E281" s="8" t="n">
        <v>2750</v>
      </c>
      <c r="F281" s="8" t="s">
        <v>170</v>
      </c>
      <c r="G281" s="8" t="n">
        <v>0</v>
      </c>
      <c r="H281" s="6" t="n">
        <v>3200</v>
      </c>
      <c r="I281" s="6" t="n">
        <v>40</v>
      </c>
      <c r="J281" s="6" t="n">
        <v>10</v>
      </c>
      <c r="K281" s="6" t="s">
        <v>1895</v>
      </c>
    </row>
    <row r="282" customFormat="false" ht="15" hidden="false" customHeight="true" outlineLevel="0" collapsed="false">
      <c r="A282" s="6" t="s">
        <v>1557</v>
      </c>
      <c r="B282" s="6" t="n">
        <v>1</v>
      </c>
      <c r="C282" s="6" t="s">
        <v>1561</v>
      </c>
      <c r="D282" s="8" t="n">
        <v>5330</v>
      </c>
      <c r="E282" s="8" t="n">
        <v>2500</v>
      </c>
      <c r="F282" s="8" t="n">
        <v>2750</v>
      </c>
      <c r="G282" s="8" t="n">
        <v>0</v>
      </c>
      <c r="H282" s="6" t="n">
        <v>700</v>
      </c>
      <c r="I282" s="6" t="n">
        <v>700</v>
      </c>
      <c r="J282" s="6" t="n">
        <v>600</v>
      </c>
      <c r="K282" s="6" t="s">
        <v>1896</v>
      </c>
    </row>
    <row r="283" customFormat="false" ht="15" hidden="false" customHeight="true" outlineLevel="0" collapsed="false">
      <c r="A283" s="6" t="s">
        <v>1563</v>
      </c>
      <c r="B283" s="6" t="n">
        <v>1</v>
      </c>
      <c r="C283" s="6" t="s">
        <v>1567</v>
      </c>
      <c r="D283" s="8" t="n">
        <v>6020</v>
      </c>
      <c r="E283" s="8" t="n">
        <v>8127</v>
      </c>
      <c r="F283" s="8" t="n">
        <v>0</v>
      </c>
      <c r="G283" s="8" t="n">
        <v>0</v>
      </c>
      <c r="H283" s="6" t="n">
        <v>800</v>
      </c>
      <c r="I283" s="6" t="n">
        <v>300</v>
      </c>
      <c r="J283" s="6" t="n">
        <v>800</v>
      </c>
      <c r="K283" s="6" t="s">
        <v>1897</v>
      </c>
    </row>
    <row r="284" customFormat="false" ht="15" hidden="false" customHeight="true" outlineLevel="0" collapsed="false">
      <c r="A284" s="6" t="s">
        <v>1570</v>
      </c>
      <c r="B284" s="6" t="n">
        <v>1</v>
      </c>
      <c r="C284" s="6" t="s">
        <v>1574</v>
      </c>
      <c r="D284" s="8" t="n">
        <v>6020</v>
      </c>
      <c r="E284" s="8" t="n">
        <v>8258</v>
      </c>
      <c r="F284" s="8" t="n">
        <v>1050</v>
      </c>
      <c r="G284" s="8" t="n">
        <v>0</v>
      </c>
      <c r="H284" s="6" t="n">
        <v>500</v>
      </c>
      <c r="I284" s="6" t="n">
        <v>37</v>
      </c>
      <c r="J284" s="6" t="n">
        <v>900</v>
      </c>
      <c r="K284" s="6" t="s">
        <v>1898</v>
      </c>
    </row>
    <row r="285" customFormat="false" ht="15" hidden="false" customHeight="true" outlineLevel="0" collapsed="false">
      <c r="A285" s="6" t="s">
        <v>1576</v>
      </c>
      <c r="B285" s="6" t="n">
        <v>1</v>
      </c>
      <c r="C285" s="6" t="s">
        <v>174</v>
      </c>
      <c r="D285" s="8" t="n">
        <v>6020</v>
      </c>
      <c r="E285" s="8" t="n">
        <v>8130</v>
      </c>
      <c r="F285" s="8" t="s">
        <v>170</v>
      </c>
      <c r="G285" s="8" t="n">
        <v>0</v>
      </c>
      <c r="H285" s="6" t="n">
        <v>250</v>
      </c>
      <c r="I285" s="6" t="n">
        <v>250</v>
      </c>
      <c r="J285" s="6" t="n">
        <v>150</v>
      </c>
      <c r="K285" s="6" t="s">
        <v>1899</v>
      </c>
    </row>
    <row r="286" customFormat="false" ht="15" hidden="false" customHeight="true" outlineLevel="0" collapsed="false">
      <c r="A286" s="6" t="s">
        <v>1578</v>
      </c>
      <c r="B286" s="6" t="n">
        <v>1</v>
      </c>
      <c r="C286" s="6" t="s">
        <v>1584</v>
      </c>
      <c r="D286" s="8" t="n">
        <v>5049</v>
      </c>
      <c r="E286" s="8" t="n">
        <v>8257</v>
      </c>
      <c r="F286" s="8" t="n">
        <v>0</v>
      </c>
      <c r="G286" s="8" t="n">
        <v>0</v>
      </c>
      <c r="H286" s="6" t="n">
        <v>1010</v>
      </c>
      <c r="I286" s="6" t="n">
        <v>40</v>
      </c>
      <c r="J286" s="6" t="n">
        <v>2100</v>
      </c>
      <c r="K286" s="6" t="s">
        <v>1900</v>
      </c>
    </row>
    <row r="287" customFormat="false" ht="15" hidden="false" customHeight="true" outlineLevel="0" collapsed="false">
      <c r="A287" s="6" t="s">
        <v>1586</v>
      </c>
      <c r="B287" s="6" t="n">
        <v>1</v>
      </c>
      <c r="C287" s="6" t="s">
        <v>1591</v>
      </c>
      <c r="D287" s="8" t="n">
        <v>4494</v>
      </c>
      <c r="E287" s="8" t="n">
        <v>8257</v>
      </c>
      <c r="F287" s="8" t="n">
        <v>0</v>
      </c>
      <c r="G287" s="8" t="n">
        <v>0</v>
      </c>
      <c r="H287" s="6" t="n">
        <v>100</v>
      </c>
      <c r="I287" s="6" t="n">
        <v>40</v>
      </c>
      <c r="J287" s="6" t="n">
        <v>2100</v>
      </c>
      <c r="K287" s="6" t="s">
        <v>1901</v>
      </c>
    </row>
    <row r="288" customFormat="false" ht="15" hidden="false" customHeight="true" outlineLevel="0" collapsed="false">
      <c r="A288" s="6" t="s">
        <v>1586</v>
      </c>
      <c r="B288" s="6" t="n">
        <v>2</v>
      </c>
      <c r="C288" s="6" t="s">
        <v>1591</v>
      </c>
      <c r="D288" s="8" t="n">
        <v>5604</v>
      </c>
      <c r="E288" s="8" t="n">
        <v>8257</v>
      </c>
      <c r="F288" s="8" t="n">
        <v>0</v>
      </c>
      <c r="G288" s="8" t="n">
        <v>0</v>
      </c>
      <c r="H288" s="6" t="n">
        <v>100</v>
      </c>
      <c r="I288" s="6" t="n">
        <v>40</v>
      </c>
      <c r="J288" s="6" t="n">
        <v>2100</v>
      </c>
      <c r="K288" s="6" t="s">
        <v>1902</v>
      </c>
    </row>
    <row r="289" customFormat="false" ht="15" hidden="false" customHeight="true" outlineLevel="0" collapsed="false">
      <c r="A289" s="6" t="s">
        <v>1593</v>
      </c>
      <c r="B289" s="6" t="n">
        <v>1</v>
      </c>
      <c r="C289" s="6" t="s">
        <v>1597</v>
      </c>
      <c r="D289" s="8" t="n">
        <v>5049</v>
      </c>
      <c r="E289" s="8" t="n">
        <v>8205</v>
      </c>
      <c r="F289" s="8" t="n">
        <v>0</v>
      </c>
      <c r="G289" s="8" t="n">
        <v>0</v>
      </c>
      <c r="H289" s="6" t="n">
        <v>1010</v>
      </c>
      <c r="I289" s="6" t="n">
        <v>50</v>
      </c>
      <c r="J289" s="6" t="n">
        <v>5</v>
      </c>
      <c r="K289" s="6" t="s">
        <v>1903</v>
      </c>
    </row>
    <row r="290" customFormat="false" ht="15" hidden="false" customHeight="true" outlineLevel="0" collapsed="false">
      <c r="A290" s="6" t="s">
        <v>1599</v>
      </c>
      <c r="B290" s="6" t="n">
        <v>1</v>
      </c>
      <c r="C290" s="6" t="s">
        <v>805</v>
      </c>
      <c r="D290" s="8" t="n">
        <v>5050</v>
      </c>
      <c r="E290" s="8" t="n">
        <v>7900</v>
      </c>
      <c r="F290" s="8" t="n">
        <v>2750</v>
      </c>
      <c r="G290" s="8" t="n">
        <v>0</v>
      </c>
      <c r="H290" s="6" t="n">
        <v>200</v>
      </c>
      <c r="I290" s="6" t="n">
        <v>200</v>
      </c>
      <c r="J290" s="6" t="n">
        <v>80</v>
      </c>
      <c r="K290" s="6" t="s">
        <v>1904</v>
      </c>
    </row>
    <row r="291" customFormat="false" ht="15" hidden="false" customHeight="true" outlineLevel="0" collapsed="false">
      <c r="A291" s="6" t="s">
        <v>1604</v>
      </c>
      <c r="B291" s="6" t="n">
        <v>1</v>
      </c>
      <c r="C291" s="6" t="s">
        <v>788</v>
      </c>
      <c r="D291" s="8" t="n">
        <v>5600</v>
      </c>
      <c r="E291" s="8" t="n">
        <v>8170</v>
      </c>
      <c r="F291" s="8" t="n">
        <v>1500</v>
      </c>
      <c r="G291" s="8" t="n">
        <v>0</v>
      </c>
      <c r="H291" s="6" t="n">
        <v>180</v>
      </c>
      <c r="I291" s="6" t="n">
        <v>180</v>
      </c>
      <c r="J291" s="6" t="n">
        <v>200</v>
      </c>
      <c r="K291" s="6" t="s">
        <v>1905</v>
      </c>
    </row>
    <row r="292" customFormat="false" ht="15" hidden="false" customHeight="true" outlineLevel="0" collapsed="false">
      <c r="A292" s="6" t="s">
        <v>1604</v>
      </c>
      <c r="B292" s="6" t="n">
        <v>2</v>
      </c>
      <c r="C292" s="6" t="s">
        <v>788</v>
      </c>
      <c r="D292" s="8" t="n">
        <v>6440</v>
      </c>
      <c r="E292" s="8" t="n">
        <v>8170</v>
      </c>
      <c r="F292" s="8" t="n">
        <v>1500</v>
      </c>
      <c r="G292" s="8" t="n">
        <v>0</v>
      </c>
      <c r="H292" s="6" t="n">
        <v>180</v>
      </c>
      <c r="I292" s="6" t="n">
        <v>180</v>
      </c>
      <c r="J292" s="6" t="n">
        <v>200</v>
      </c>
      <c r="K292" s="6" t="s">
        <v>1906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9"/>
    <col collapsed="false" customWidth="true" hidden="false" outlineLevel="0" max="4" min="4" style="1" width="12"/>
    <col collapsed="false" customWidth="true" hidden="false" outlineLevel="0" max="5" min="5" style="1" width="60"/>
    <col collapsed="false" customWidth="true" hidden="false" outlineLevel="0" max="6" min="6" style="1" width="90"/>
    <col collapsed="false" customWidth="true" hidden="false" outlineLevel="0" max="7" min="7" style="1" width="11"/>
  </cols>
  <sheetData>
    <row r="1" customFormat="false" ht="31.5" hidden="false" customHeight="true" outlineLevel="0" collapsed="false">
      <c r="A1" s="5" t="s">
        <v>53</v>
      </c>
      <c r="B1" s="5" t="s">
        <v>54</v>
      </c>
      <c r="C1" s="5" t="s">
        <v>55</v>
      </c>
      <c r="D1" s="5" t="s">
        <v>1907</v>
      </c>
      <c r="E1" s="5" t="s">
        <v>1908</v>
      </c>
      <c r="F1" s="5" t="s">
        <v>1909</v>
      </c>
      <c r="G1" s="5" t="s">
        <v>1910</v>
      </c>
    </row>
    <row r="2" customFormat="false" ht="48" hidden="false" customHeight="true" outlineLevel="0" collapsed="false">
      <c r="A2" s="14" t="s">
        <v>373</v>
      </c>
      <c r="B2" s="14" t="s">
        <v>374</v>
      </c>
      <c r="C2" s="14" t="s">
        <v>77</v>
      </c>
      <c r="D2" s="15" t="n">
        <v>450</v>
      </c>
      <c r="E2" s="15" t="s">
        <v>375</v>
      </c>
      <c r="F2" s="14" t="s">
        <v>1911</v>
      </c>
      <c r="G2" s="14" t="n">
        <f aca="false">COUNTIF(Items!$E:$E,A2)</f>
        <v>3</v>
      </c>
    </row>
    <row r="3" customFormat="false" ht="48" hidden="false" customHeight="true" outlineLevel="0" collapsed="false">
      <c r="A3" s="14" t="s">
        <v>381</v>
      </c>
      <c r="B3" s="14" t="s">
        <v>382</v>
      </c>
      <c r="C3" s="14" t="s">
        <v>77</v>
      </c>
      <c r="D3" s="15" t="n">
        <v>550</v>
      </c>
      <c r="E3" s="15" t="s">
        <v>383</v>
      </c>
      <c r="F3" s="14" t="s">
        <v>1912</v>
      </c>
      <c r="G3" s="14" t="n">
        <f aca="false">COUNTIF(Items!$E:$E,A3)</f>
        <v>3</v>
      </c>
    </row>
    <row r="4" customFormat="false" ht="48" hidden="false" customHeight="true" outlineLevel="0" collapsed="false">
      <c r="A4" s="14" t="s">
        <v>399</v>
      </c>
      <c r="B4" s="14" t="s">
        <v>400</v>
      </c>
      <c r="C4" s="14" t="s">
        <v>77</v>
      </c>
      <c r="D4" s="15" t="n">
        <v>450</v>
      </c>
      <c r="E4" s="15" t="s">
        <v>401</v>
      </c>
      <c r="F4" s="14" t="s">
        <v>1913</v>
      </c>
      <c r="G4" s="14" t="n">
        <f aca="false">COUNTIF(Items!$E:$E,A4)</f>
        <v>3</v>
      </c>
    </row>
    <row r="5" customFormat="false" ht="48" hidden="false" customHeight="true" outlineLevel="0" collapsed="false">
      <c r="A5" s="14" t="s">
        <v>75</v>
      </c>
      <c r="B5" s="14" t="s">
        <v>76</v>
      </c>
      <c r="C5" s="14" t="s">
        <v>77</v>
      </c>
      <c r="D5" s="15" t="n">
        <v>760</v>
      </c>
      <c r="E5" s="15" t="s">
        <v>79</v>
      </c>
      <c r="F5" s="14" t="s">
        <v>1914</v>
      </c>
      <c r="G5" s="14" t="n">
        <f aca="false">COUNTIF(Items!$E:$E,A5)</f>
        <v>1</v>
      </c>
    </row>
    <row r="6" customFormat="false" ht="48" hidden="false" customHeight="true" outlineLevel="0" collapsed="false">
      <c r="A6" s="14" t="s">
        <v>389</v>
      </c>
      <c r="B6" s="14" t="s">
        <v>390</v>
      </c>
      <c r="C6" s="14" t="s">
        <v>77</v>
      </c>
      <c r="D6" s="15" t="n">
        <v>800</v>
      </c>
      <c r="E6" s="15" t="s">
        <v>391</v>
      </c>
      <c r="F6" s="14" t="s">
        <v>1915</v>
      </c>
      <c r="G6" s="14" t="n">
        <f aca="false">COUNTIF(Items!$E:$E,A6)</f>
        <v>3</v>
      </c>
    </row>
    <row r="7" customFormat="false" ht="48" hidden="false" customHeight="true" outlineLevel="0" collapsed="false">
      <c r="A7" s="14" t="s">
        <v>1916</v>
      </c>
      <c r="B7" s="14" t="s">
        <v>1917</v>
      </c>
      <c r="C7" s="14" t="s">
        <v>77</v>
      </c>
      <c r="D7" s="15" t="n">
        <v>780</v>
      </c>
      <c r="E7" s="15" t="s">
        <v>1918</v>
      </c>
      <c r="F7" s="14" t="s">
        <v>1919</v>
      </c>
      <c r="G7" s="14" t="n">
        <f aca="false">COUNTIF(Items!$E:$E,A7)</f>
        <v>0</v>
      </c>
    </row>
    <row r="8" customFormat="false" ht="48" hidden="false" customHeight="true" outlineLevel="0" collapsed="false">
      <c r="A8" s="14" t="s">
        <v>118</v>
      </c>
      <c r="B8" s="14" t="s">
        <v>119</v>
      </c>
      <c r="C8" s="14" t="s">
        <v>77</v>
      </c>
      <c r="D8" s="15" t="n">
        <v>780</v>
      </c>
      <c r="E8" s="15" t="s">
        <v>121</v>
      </c>
      <c r="F8" s="14" t="s">
        <v>1920</v>
      </c>
      <c r="G8" s="14" t="n">
        <f aca="false">COUNTIF(Items!$E:$E,A8)</f>
        <v>1</v>
      </c>
    </row>
    <row r="9" customFormat="false" ht="48" hidden="false" customHeight="true" outlineLevel="0" collapsed="false">
      <c r="A9" s="14" t="s">
        <v>88</v>
      </c>
      <c r="B9" s="14" t="s">
        <v>89</v>
      </c>
      <c r="C9" s="14" t="s">
        <v>77</v>
      </c>
      <c r="D9" s="15" t="n">
        <v>420</v>
      </c>
      <c r="E9" s="15" t="s">
        <v>1921</v>
      </c>
      <c r="F9" s="14" t="s">
        <v>1922</v>
      </c>
      <c r="G9" s="14" t="n">
        <f aca="false">COUNTIF(Items!$E:$E,A9)</f>
        <v>3</v>
      </c>
    </row>
    <row r="10" customFormat="false" ht="48" hidden="false" customHeight="true" outlineLevel="0" collapsed="false">
      <c r="A10" s="14" t="s">
        <v>129</v>
      </c>
      <c r="B10" s="14" t="s">
        <v>130</v>
      </c>
      <c r="C10" s="14" t="s">
        <v>77</v>
      </c>
      <c r="D10" s="15" t="n">
        <v>500</v>
      </c>
      <c r="E10" s="15" t="s">
        <v>131</v>
      </c>
      <c r="F10" s="14" t="s">
        <v>1923</v>
      </c>
      <c r="G10" s="14" t="n">
        <f aca="false">COUNTIF(Items!$E:$E,A10)</f>
        <v>1</v>
      </c>
    </row>
    <row r="11" customFormat="false" ht="48" hidden="false" customHeight="true" outlineLevel="0" collapsed="false">
      <c r="A11" s="14" t="s">
        <v>98</v>
      </c>
      <c r="B11" s="14" t="s">
        <v>99</v>
      </c>
      <c r="C11" s="14" t="s">
        <v>77</v>
      </c>
      <c r="D11" s="15" t="n">
        <v>800</v>
      </c>
      <c r="E11" s="15" t="s">
        <v>1924</v>
      </c>
      <c r="F11" s="14" t="s">
        <v>1925</v>
      </c>
      <c r="G11" s="14" t="n">
        <f aca="false">COUNTIF(Items!$E:$E,A11)</f>
        <v>2</v>
      </c>
    </row>
    <row r="12" customFormat="false" ht="48" hidden="false" customHeight="true" outlineLevel="0" collapsed="false">
      <c r="A12" s="14" t="s">
        <v>107</v>
      </c>
      <c r="B12" s="14" t="s">
        <v>108</v>
      </c>
      <c r="C12" s="14" t="s">
        <v>77</v>
      </c>
      <c r="D12" s="15" t="n">
        <v>900</v>
      </c>
      <c r="E12" s="15" t="s">
        <v>109</v>
      </c>
      <c r="F12" s="14" t="s">
        <v>1926</v>
      </c>
      <c r="G12" s="14" t="n">
        <f aca="false">COUNTIF(Items!$E:$E,A12)</f>
        <v>1</v>
      </c>
    </row>
    <row r="13" customFormat="false" ht="48" hidden="false" customHeight="true" outlineLevel="0" collapsed="false">
      <c r="A13" s="14" t="s">
        <v>407</v>
      </c>
      <c r="B13" s="14" t="s">
        <v>408</v>
      </c>
      <c r="C13" s="14" t="s">
        <v>77</v>
      </c>
      <c r="D13" s="15" t="n">
        <v>450</v>
      </c>
      <c r="E13" s="15" t="s">
        <v>409</v>
      </c>
      <c r="F13" s="14" t="s">
        <v>1927</v>
      </c>
      <c r="G13" s="14" t="n">
        <f aca="false">COUNTIF(Items!$E:$E,A13)</f>
        <v>2</v>
      </c>
    </row>
    <row r="14" customFormat="false" ht="48" hidden="false" customHeight="true" outlineLevel="0" collapsed="false">
      <c r="A14" s="14" t="s">
        <v>415</v>
      </c>
      <c r="B14" s="14" t="s">
        <v>416</v>
      </c>
      <c r="C14" s="14" t="s">
        <v>77</v>
      </c>
      <c r="D14" s="15" t="n">
        <v>750</v>
      </c>
      <c r="E14" s="15" t="s">
        <v>417</v>
      </c>
      <c r="F14" s="14" t="s">
        <v>1928</v>
      </c>
      <c r="G14" s="14" t="n">
        <f aca="false">COUNTIF(Items!$E:$E,A14)</f>
        <v>2</v>
      </c>
    </row>
    <row r="15" customFormat="false" ht="48" hidden="false" customHeight="true" outlineLevel="0" collapsed="false">
      <c r="A15" s="14" t="s">
        <v>832</v>
      </c>
      <c r="B15" s="14" t="s">
        <v>833</v>
      </c>
      <c r="C15" s="14" t="s">
        <v>77</v>
      </c>
      <c r="D15" s="15" t="n">
        <v>800</v>
      </c>
      <c r="E15" s="15" t="s">
        <v>834</v>
      </c>
      <c r="F15" s="14" t="s">
        <v>1929</v>
      </c>
      <c r="G15" s="14" t="n">
        <f aca="false">COUNTIF(Items!$E:$E,A15)</f>
        <v>1</v>
      </c>
    </row>
    <row r="16" customFormat="false" ht="48" hidden="false" customHeight="true" outlineLevel="0" collapsed="false">
      <c r="A16" s="14" t="s">
        <v>550</v>
      </c>
      <c r="B16" s="14" t="s">
        <v>551</v>
      </c>
      <c r="C16" s="14" t="s">
        <v>77</v>
      </c>
      <c r="D16" s="15" t="n">
        <v>2700</v>
      </c>
      <c r="E16" s="15" t="s">
        <v>552</v>
      </c>
      <c r="F16" s="14" t="s">
        <v>1930</v>
      </c>
      <c r="G16" s="14" t="n">
        <f aca="false">COUNTIF(Items!$E:$E,A16)</f>
        <v>3</v>
      </c>
    </row>
    <row r="17" customFormat="false" ht="48" hidden="false" customHeight="true" outlineLevel="0" collapsed="false">
      <c r="A17" s="14" t="s">
        <v>559</v>
      </c>
      <c r="B17" s="14" t="s">
        <v>560</v>
      </c>
      <c r="C17" s="14" t="s">
        <v>77</v>
      </c>
      <c r="D17" s="15" t="n">
        <v>900</v>
      </c>
      <c r="E17" s="15" t="s">
        <v>561</v>
      </c>
      <c r="F17" s="14" t="s">
        <v>1931</v>
      </c>
      <c r="G17" s="14" t="n">
        <f aca="false">COUNTIF(Items!$E:$E,A17)</f>
        <v>1</v>
      </c>
    </row>
    <row r="18" customFormat="false" ht="48" hidden="false" customHeight="true" outlineLevel="0" collapsed="false">
      <c r="A18" s="14" t="s">
        <v>576</v>
      </c>
      <c r="B18" s="14" t="s">
        <v>577</v>
      </c>
      <c r="C18" s="14" t="s">
        <v>77</v>
      </c>
      <c r="D18" s="15" t="n">
        <v>2100</v>
      </c>
      <c r="E18" s="15" t="s">
        <v>578</v>
      </c>
      <c r="F18" s="14" t="s">
        <v>1932</v>
      </c>
      <c r="G18" s="14" t="n">
        <f aca="false">COUNTIF(Items!$E:$E,A18)</f>
        <v>1</v>
      </c>
    </row>
    <row r="19" customFormat="false" ht="48" hidden="false" customHeight="true" outlineLevel="0" collapsed="false">
      <c r="A19" s="14" t="s">
        <v>138</v>
      </c>
      <c r="B19" s="14" t="s">
        <v>139</v>
      </c>
      <c r="C19" s="14" t="s">
        <v>77</v>
      </c>
      <c r="D19" s="15" t="n">
        <v>420</v>
      </c>
      <c r="E19" s="15" t="s">
        <v>140</v>
      </c>
      <c r="F19" s="14" t="s">
        <v>1933</v>
      </c>
      <c r="G19" s="14" t="n">
        <f aca="false">COUNTIF(Items!$E:$E,A19)</f>
        <v>5</v>
      </c>
    </row>
    <row r="20" customFormat="false" ht="48" hidden="false" customHeight="true" outlineLevel="0" collapsed="false">
      <c r="A20" s="14" t="s">
        <v>147</v>
      </c>
      <c r="B20" s="14" t="s">
        <v>148</v>
      </c>
      <c r="C20" s="14" t="s">
        <v>77</v>
      </c>
      <c r="D20" s="15" t="n">
        <v>1800</v>
      </c>
      <c r="E20" s="15" t="s">
        <v>149</v>
      </c>
      <c r="F20" s="14" t="s">
        <v>1934</v>
      </c>
      <c r="G20" s="14" t="n">
        <f aca="false">COUNTIF(Items!$E:$E,A20)</f>
        <v>4</v>
      </c>
    </row>
    <row r="21" customFormat="false" ht="48" hidden="false" customHeight="true" outlineLevel="0" collapsed="false">
      <c r="A21" s="14" t="s">
        <v>316</v>
      </c>
      <c r="B21" s="14" t="s">
        <v>317</v>
      </c>
      <c r="C21" s="14" t="s">
        <v>77</v>
      </c>
      <c r="D21" s="15" t="n">
        <v>400</v>
      </c>
      <c r="E21" s="15" t="s">
        <v>318</v>
      </c>
      <c r="F21" s="14" t="s">
        <v>1935</v>
      </c>
      <c r="G21" s="14" t="n">
        <f aca="false">COUNTIF(Items!$E:$E,A21)</f>
        <v>2</v>
      </c>
    </row>
    <row r="22" customFormat="false" ht="48" hidden="false" customHeight="true" outlineLevel="0" collapsed="false">
      <c r="A22" s="14" t="s">
        <v>675</v>
      </c>
      <c r="B22" s="14" t="s">
        <v>676</v>
      </c>
      <c r="C22" s="14" t="s">
        <v>158</v>
      </c>
      <c r="D22" s="15" t="n">
        <v>850</v>
      </c>
      <c r="E22" s="15" t="s">
        <v>1001</v>
      </c>
      <c r="F22" s="14" t="s">
        <v>1936</v>
      </c>
      <c r="G22" s="14" t="n">
        <f aca="false">COUNTIF(Items!$E:$E,A22)</f>
        <v>3</v>
      </c>
    </row>
    <row r="23" customFormat="false" ht="48" hidden="false" customHeight="true" outlineLevel="0" collapsed="false">
      <c r="A23" s="14" t="s">
        <v>684</v>
      </c>
      <c r="B23" s="14" t="s">
        <v>685</v>
      </c>
      <c r="C23" s="14" t="s">
        <v>158</v>
      </c>
      <c r="D23" s="15" t="n">
        <v>400</v>
      </c>
      <c r="E23" s="15" t="s">
        <v>686</v>
      </c>
      <c r="F23" s="14" t="s">
        <v>1937</v>
      </c>
      <c r="G23" s="14" t="n">
        <f aca="false">COUNTIF(Items!$E:$E,A23)</f>
        <v>3</v>
      </c>
    </row>
    <row r="24" customFormat="false" ht="48" hidden="false" customHeight="true" outlineLevel="0" collapsed="false">
      <c r="A24" s="14" t="s">
        <v>693</v>
      </c>
      <c r="B24" s="14" t="s">
        <v>694</v>
      </c>
      <c r="C24" s="14" t="s">
        <v>77</v>
      </c>
      <c r="D24" s="15" t="n">
        <v>2100</v>
      </c>
      <c r="E24" s="15" t="s">
        <v>695</v>
      </c>
      <c r="F24" s="14" t="s">
        <v>1938</v>
      </c>
      <c r="G24" s="14" t="n">
        <f aca="false">COUNTIF(Items!$E:$E,A24)</f>
        <v>3</v>
      </c>
    </row>
    <row r="25" customFormat="false" ht="48" hidden="false" customHeight="true" outlineLevel="0" collapsed="false">
      <c r="A25" s="14" t="s">
        <v>702</v>
      </c>
      <c r="B25" s="14" t="s">
        <v>703</v>
      </c>
      <c r="C25" s="14" t="s">
        <v>77</v>
      </c>
      <c r="D25" s="15" t="n">
        <v>450</v>
      </c>
      <c r="E25" s="15" t="s">
        <v>704</v>
      </c>
      <c r="F25" s="14" t="s">
        <v>1939</v>
      </c>
      <c r="G25" s="14" t="n">
        <f aca="false">COUNTIF(Items!$E:$E,A25)</f>
        <v>1</v>
      </c>
    </row>
    <row r="26" customFormat="false" ht="48" hidden="false" customHeight="true" outlineLevel="0" collapsed="false">
      <c r="A26" s="14" t="s">
        <v>1212</v>
      </c>
      <c r="B26" s="14" t="s">
        <v>1213</v>
      </c>
      <c r="C26" s="14" t="s">
        <v>77</v>
      </c>
      <c r="D26" s="15" t="n">
        <v>560</v>
      </c>
      <c r="E26" s="15" t="s">
        <v>1214</v>
      </c>
      <c r="F26" s="14" t="s">
        <v>1940</v>
      </c>
      <c r="G26" s="14" t="n">
        <f aca="false">COUNTIF(Items!$E:$E,A26)</f>
        <v>1</v>
      </c>
    </row>
    <row r="27" customFormat="false" ht="48" hidden="false" customHeight="true" outlineLevel="0" collapsed="false">
      <c r="A27" s="14" t="s">
        <v>711</v>
      </c>
      <c r="B27" s="14" t="s">
        <v>712</v>
      </c>
      <c r="C27" s="14" t="s">
        <v>77</v>
      </c>
      <c r="D27" s="15" t="n">
        <v>2100</v>
      </c>
      <c r="E27" s="15" t="s">
        <v>713</v>
      </c>
      <c r="F27" s="14" t="s">
        <v>1941</v>
      </c>
      <c r="G27" s="14" t="n">
        <f aca="false">COUNTIF(Items!$E:$E,A27)</f>
        <v>2</v>
      </c>
    </row>
    <row r="28" customFormat="false" ht="48" hidden="false" customHeight="true" outlineLevel="0" collapsed="false">
      <c r="A28" s="14" t="s">
        <v>720</v>
      </c>
      <c r="B28" s="14" t="s">
        <v>721</v>
      </c>
      <c r="C28" s="14" t="s">
        <v>158</v>
      </c>
      <c r="D28" s="15" t="n">
        <v>600</v>
      </c>
      <c r="E28" s="15" t="s">
        <v>1942</v>
      </c>
      <c r="F28" s="14" t="s">
        <v>1943</v>
      </c>
      <c r="G28" s="14" t="n">
        <f aca="false">COUNTIF(Items!$E:$E,A28)</f>
        <v>11</v>
      </c>
    </row>
    <row r="29" customFormat="false" ht="48" hidden="false" customHeight="true" outlineLevel="0" collapsed="false">
      <c r="A29" s="14" t="s">
        <v>1290</v>
      </c>
      <c r="B29" s="14" t="s">
        <v>1291</v>
      </c>
      <c r="C29" s="14" t="s">
        <v>77</v>
      </c>
      <c r="D29" s="15" t="n">
        <v>750</v>
      </c>
      <c r="E29" s="15" t="s">
        <v>1292</v>
      </c>
      <c r="F29" s="14" t="s">
        <v>1944</v>
      </c>
      <c r="G29" s="14" t="n">
        <f aca="false">COUNTIF(Items!$E:$E,A29)</f>
        <v>2</v>
      </c>
    </row>
    <row r="30" customFormat="false" ht="48" hidden="false" customHeight="true" outlineLevel="0" collapsed="false">
      <c r="A30" s="14" t="s">
        <v>1305</v>
      </c>
      <c r="B30" s="14" t="s">
        <v>1306</v>
      </c>
      <c r="C30" s="14" t="s">
        <v>77</v>
      </c>
      <c r="D30" s="15" t="n">
        <v>2400</v>
      </c>
      <c r="E30" s="15" t="s">
        <v>1307</v>
      </c>
      <c r="F30" s="14" t="s">
        <v>1945</v>
      </c>
      <c r="G30" s="14" t="n">
        <f aca="false">COUNTIF(Items!$E:$E,A30)</f>
        <v>1</v>
      </c>
    </row>
    <row r="31" customFormat="false" ht="48" hidden="false" customHeight="true" outlineLevel="0" collapsed="false">
      <c r="A31" s="14" t="s">
        <v>1315</v>
      </c>
      <c r="B31" s="14" t="s">
        <v>1316</v>
      </c>
      <c r="C31" s="14" t="s">
        <v>77</v>
      </c>
      <c r="D31" s="15" t="n">
        <v>800</v>
      </c>
      <c r="E31" s="15" t="s">
        <v>1317</v>
      </c>
      <c r="F31" s="14" t="s">
        <v>1946</v>
      </c>
      <c r="G31" s="14" t="n">
        <f aca="false">COUNTIF(Items!$E:$E,A31)</f>
        <v>1</v>
      </c>
    </row>
    <row r="32" customFormat="false" ht="48" hidden="false" customHeight="true" outlineLevel="0" collapsed="false">
      <c r="A32" s="14" t="s">
        <v>1324</v>
      </c>
      <c r="B32" s="14" t="s">
        <v>1325</v>
      </c>
      <c r="C32" s="14" t="s">
        <v>77</v>
      </c>
      <c r="D32" s="15" t="n">
        <v>450</v>
      </c>
      <c r="E32" s="15" t="s">
        <v>1326</v>
      </c>
      <c r="F32" s="14" t="s">
        <v>1947</v>
      </c>
      <c r="G32" s="14" t="n">
        <f aca="false">COUNTIF(Items!$E:$E,A32)</f>
        <v>1</v>
      </c>
    </row>
    <row r="33" customFormat="false" ht="48" hidden="false" customHeight="true" outlineLevel="0" collapsed="false">
      <c r="A33" s="14" t="s">
        <v>1507</v>
      </c>
      <c r="B33" s="14" t="s">
        <v>1508</v>
      </c>
      <c r="C33" s="14" t="s">
        <v>77</v>
      </c>
      <c r="D33" s="15" t="n">
        <v>3348</v>
      </c>
      <c r="E33" s="15" t="s">
        <v>1509</v>
      </c>
      <c r="F33" s="14" t="s">
        <v>1948</v>
      </c>
      <c r="G33" s="14" t="n">
        <f aca="false">COUNTIF(Items!$E:$E,A33)</f>
        <v>1</v>
      </c>
    </row>
    <row r="34" customFormat="false" ht="48" hidden="false" customHeight="true" outlineLevel="0" collapsed="false">
      <c r="A34" s="14" t="s">
        <v>1455</v>
      </c>
      <c r="B34" s="14" t="s">
        <v>1456</v>
      </c>
      <c r="C34" s="14" t="s">
        <v>158</v>
      </c>
      <c r="D34" s="15" t="n">
        <v>1800</v>
      </c>
      <c r="E34" s="15" t="s">
        <v>1457</v>
      </c>
      <c r="F34" s="14" t="s">
        <v>1949</v>
      </c>
      <c r="G34" s="14" t="n">
        <f aca="false">COUNTIF(Items!$E:$E,A34)</f>
        <v>1</v>
      </c>
    </row>
    <row r="35" customFormat="false" ht="48" hidden="false" customHeight="true" outlineLevel="0" collapsed="false">
      <c r="A35" s="14" t="s">
        <v>1580</v>
      </c>
      <c r="B35" s="14" t="s">
        <v>1581</v>
      </c>
      <c r="C35" s="14" t="s">
        <v>158</v>
      </c>
      <c r="D35" s="15" t="n">
        <v>2100</v>
      </c>
      <c r="E35" s="15" t="s">
        <v>1950</v>
      </c>
      <c r="F35" s="14" t="s">
        <v>1951</v>
      </c>
      <c r="G35" s="14" t="n">
        <f aca="false">COUNTIF(Items!$E:$E,A35)</f>
        <v>2</v>
      </c>
    </row>
    <row r="36" customFormat="false" ht="48" hidden="false" customHeight="true" outlineLevel="0" collapsed="false">
      <c r="A36" s="14" t="s">
        <v>156</v>
      </c>
      <c r="B36" s="14" t="s">
        <v>157</v>
      </c>
      <c r="C36" s="14" t="s">
        <v>158</v>
      </c>
      <c r="D36" s="15" t="n">
        <v>900</v>
      </c>
      <c r="E36" s="15" t="s">
        <v>160</v>
      </c>
      <c r="F36" s="14" t="s">
        <v>1952</v>
      </c>
      <c r="G36" s="14" t="n">
        <f aca="false">COUNTIF(Items!$E:$E,A36)</f>
        <v>11</v>
      </c>
    </row>
    <row r="37" customFormat="false" ht="48" hidden="false" customHeight="true" outlineLevel="0" collapsed="false">
      <c r="A37" s="14" t="s">
        <v>481</v>
      </c>
      <c r="B37" s="14" t="s">
        <v>482</v>
      </c>
      <c r="C37" s="14" t="s">
        <v>158</v>
      </c>
      <c r="D37" s="15" t="n">
        <v>900</v>
      </c>
      <c r="E37" s="15" t="s">
        <v>1953</v>
      </c>
      <c r="F37" s="14" t="s">
        <v>1954</v>
      </c>
      <c r="G37" s="14" t="n">
        <f aca="false">COUNTIF(Items!$E:$E,A37)</f>
        <v>6</v>
      </c>
    </row>
    <row r="38" customFormat="false" ht="48" hidden="false" customHeight="true" outlineLevel="0" collapsed="false">
      <c r="A38" s="14" t="s">
        <v>167</v>
      </c>
      <c r="B38" s="14" t="s">
        <v>168</v>
      </c>
      <c r="C38" s="14" t="s">
        <v>169</v>
      </c>
      <c r="D38" s="15" t="n">
        <v>150</v>
      </c>
      <c r="E38" s="15" t="s">
        <v>1955</v>
      </c>
      <c r="F38" s="14" t="s">
        <v>1956</v>
      </c>
      <c r="G38" s="14" t="n">
        <f aca="false">COUNTIF(Items!$E:$E,A38)</f>
        <v>35</v>
      </c>
    </row>
    <row r="39" customFormat="false" ht="48" hidden="false" customHeight="true" outlineLevel="0" collapsed="false">
      <c r="A39" s="14" t="s">
        <v>567</v>
      </c>
      <c r="B39" s="14" t="s">
        <v>568</v>
      </c>
      <c r="C39" s="14" t="s">
        <v>169</v>
      </c>
      <c r="D39" s="15" t="n">
        <v>0</v>
      </c>
      <c r="E39" s="15" t="s">
        <v>1957</v>
      </c>
      <c r="F39" s="14" t="s">
        <v>1958</v>
      </c>
      <c r="G39" s="14" t="n">
        <f aca="false">COUNTIF(Items!$E:$E,A39)</f>
        <v>11</v>
      </c>
    </row>
    <row r="40" customFormat="false" ht="48" hidden="false" customHeight="true" outlineLevel="0" collapsed="false">
      <c r="A40" s="14" t="s">
        <v>331</v>
      </c>
      <c r="B40" s="14" t="s">
        <v>332</v>
      </c>
      <c r="C40" s="14" t="s">
        <v>77</v>
      </c>
      <c r="D40" s="15" t="n">
        <v>600</v>
      </c>
      <c r="E40" s="15" t="s">
        <v>1959</v>
      </c>
      <c r="F40" s="14" t="s">
        <v>1960</v>
      </c>
      <c r="G40" s="14" t="n">
        <f aca="false">COUNTIF(Items!$E:$E,A40)</f>
        <v>8</v>
      </c>
    </row>
    <row r="41" customFormat="false" ht="48" hidden="false" customHeight="true" outlineLevel="0" collapsed="false">
      <c r="A41" s="14" t="s">
        <v>1361</v>
      </c>
      <c r="B41" s="14" t="s">
        <v>1362</v>
      </c>
      <c r="C41" s="14" t="s">
        <v>77</v>
      </c>
      <c r="D41" s="15" t="n">
        <v>450</v>
      </c>
      <c r="E41" s="15" t="s">
        <v>1363</v>
      </c>
      <c r="F41" s="14" t="s">
        <v>1961</v>
      </c>
      <c r="G41" s="14" t="n">
        <f aca="false">COUNTIF(Items!$E:$E,A41)</f>
        <v>2</v>
      </c>
    </row>
    <row r="42" customFormat="false" ht="48" hidden="false" customHeight="true" outlineLevel="0" collapsed="false">
      <c r="A42" s="14" t="s">
        <v>216</v>
      </c>
      <c r="B42" s="14" t="s">
        <v>217</v>
      </c>
      <c r="C42" s="14" t="s">
        <v>218</v>
      </c>
      <c r="D42" s="15" t="n">
        <v>15</v>
      </c>
      <c r="E42" s="15" t="s">
        <v>1962</v>
      </c>
      <c r="F42" s="14" t="s">
        <v>1963</v>
      </c>
      <c r="G42" s="14" t="n">
        <f aca="false">COUNTIF(Items!$E:$E,A42)</f>
        <v>11</v>
      </c>
    </row>
    <row r="43" customFormat="false" ht="48" hidden="false" customHeight="true" outlineLevel="0" collapsed="false">
      <c r="A43" s="14" t="s">
        <v>629</v>
      </c>
      <c r="B43" s="14" t="s">
        <v>630</v>
      </c>
      <c r="C43" s="14" t="s">
        <v>218</v>
      </c>
      <c r="D43" s="15" t="n">
        <v>0</v>
      </c>
      <c r="E43" s="15" t="s">
        <v>1964</v>
      </c>
      <c r="F43" s="14" t="s">
        <v>1965</v>
      </c>
      <c r="G43" s="14" t="n">
        <f aca="false">COUNTIF(Items!$E:$E,A43)</f>
        <v>9</v>
      </c>
    </row>
    <row r="44" customFormat="false" ht="48" hidden="false" customHeight="true" outlineLevel="0" collapsed="false">
      <c r="A44" s="14" t="s">
        <v>206</v>
      </c>
      <c r="B44" s="14" t="s">
        <v>207</v>
      </c>
      <c r="C44" s="14" t="s">
        <v>158</v>
      </c>
      <c r="D44" s="15" t="n">
        <v>2550</v>
      </c>
      <c r="E44" s="15" t="s">
        <v>208</v>
      </c>
      <c r="F44" s="14" t="s">
        <v>1966</v>
      </c>
      <c r="G44" s="14" t="n">
        <f aca="false">COUNTIF(Items!$E:$E,A44)</f>
        <v>1</v>
      </c>
    </row>
    <row r="45" customFormat="false" ht="48" hidden="false" customHeight="true" outlineLevel="0" collapsed="false">
      <c r="A45" s="14" t="s">
        <v>235</v>
      </c>
      <c r="B45" s="14" t="s">
        <v>236</v>
      </c>
      <c r="C45" s="14" t="s">
        <v>158</v>
      </c>
      <c r="D45" s="15" t="n">
        <v>2700</v>
      </c>
      <c r="E45" s="15" t="s">
        <v>1967</v>
      </c>
      <c r="F45" s="14" t="s">
        <v>1968</v>
      </c>
      <c r="G45" s="14" t="n">
        <f aca="false">COUNTIF(Items!$E:$E,A45)</f>
        <v>9</v>
      </c>
    </row>
    <row r="46" customFormat="false" ht="48" hidden="false" customHeight="true" outlineLevel="0" collapsed="false">
      <c r="A46" s="14" t="s">
        <v>243</v>
      </c>
      <c r="B46" s="14" t="s">
        <v>244</v>
      </c>
      <c r="C46" s="14" t="s">
        <v>245</v>
      </c>
      <c r="D46" s="15" t="n">
        <v>200</v>
      </c>
      <c r="E46" s="15" t="s">
        <v>246</v>
      </c>
      <c r="F46" s="14" t="s">
        <v>1969</v>
      </c>
      <c r="G46" s="14" t="n">
        <f aca="false">COUNTIF(Items!$E:$E,A46)</f>
        <v>3</v>
      </c>
    </row>
    <row r="47" customFormat="false" ht="48" hidden="false" customHeight="true" outlineLevel="0" collapsed="false">
      <c r="A47" s="14" t="s">
        <v>226</v>
      </c>
      <c r="B47" s="14" t="s">
        <v>227</v>
      </c>
      <c r="C47" s="14" t="s">
        <v>77</v>
      </c>
      <c r="D47" s="15" t="n">
        <v>1100</v>
      </c>
      <c r="E47" s="15" t="s">
        <v>228</v>
      </c>
      <c r="F47" s="14" t="s">
        <v>1970</v>
      </c>
      <c r="G47" s="14" t="n">
        <f aca="false">COUNTIF(Items!$E:$E,A47)</f>
        <v>2</v>
      </c>
    </row>
    <row r="48" customFormat="false" ht="48" hidden="false" customHeight="true" outlineLevel="0" collapsed="false">
      <c r="A48" s="14" t="s">
        <v>252</v>
      </c>
      <c r="B48" s="14" t="s">
        <v>253</v>
      </c>
      <c r="C48" s="14" t="s">
        <v>77</v>
      </c>
      <c r="D48" s="15" t="n">
        <v>5</v>
      </c>
      <c r="E48" s="15" t="s">
        <v>254</v>
      </c>
      <c r="F48" s="14" t="s">
        <v>1971</v>
      </c>
      <c r="G48" s="14" t="n">
        <f aca="false">COUNTIF(Items!$E:$E,A48)</f>
        <v>5</v>
      </c>
    </row>
    <row r="49" customFormat="false" ht="48" hidden="false" customHeight="true" outlineLevel="0" collapsed="false">
      <c r="A49" s="14" t="s">
        <v>1389</v>
      </c>
      <c r="B49" s="14" t="s">
        <v>1390</v>
      </c>
      <c r="C49" s="14" t="s">
        <v>245</v>
      </c>
      <c r="D49" s="15" t="n">
        <v>60</v>
      </c>
      <c r="E49" s="15" t="s">
        <v>1391</v>
      </c>
      <c r="F49" s="14" t="s">
        <v>1972</v>
      </c>
      <c r="G49" s="14" t="n">
        <f aca="false">COUNTIF(Items!$E:$E,A49)</f>
        <v>2</v>
      </c>
    </row>
    <row r="50" customFormat="false" ht="48" hidden="false" customHeight="true" outlineLevel="0" collapsed="false">
      <c r="A50" s="14" t="s">
        <v>1397</v>
      </c>
      <c r="B50" s="14" t="s">
        <v>1398</v>
      </c>
      <c r="C50" s="14" t="s">
        <v>77</v>
      </c>
      <c r="D50" s="15" t="n">
        <v>40</v>
      </c>
      <c r="E50" s="15" t="s">
        <v>1399</v>
      </c>
      <c r="F50" s="14" t="s">
        <v>1973</v>
      </c>
      <c r="G50" s="14" t="n">
        <f aca="false">COUNTIF(Items!$E:$E,A50)</f>
        <v>1</v>
      </c>
    </row>
    <row r="51" customFormat="false" ht="48" hidden="false" customHeight="true" outlineLevel="0" collapsed="false">
      <c r="A51" s="14" t="s">
        <v>260</v>
      </c>
      <c r="B51" s="14" t="s">
        <v>261</v>
      </c>
      <c r="C51" s="14" t="s">
        <v>245</v>
      </c>
      <c r="D51" s="15" t="n">
        <v>600</v>
      </c>
      <c r="E51" s="15" t="s">
        <v>1974</v>
      </c>
      <c r="F51" s="14" t="s">
        <v>1975</v>
      </c>
      <c r="G51" s="14" t="n">
        <f aca="false">COUNTIF(Items!$E:$E,A51)</f>
        <v>2</v>
      </c>
    </row>
    <row r="52" customFormat="false" ht="48" hidden="false" customHeight="true" outlineLevel="0" collapsed="false">
      <c r="A52" s="14" t="s">
        <v>504</v>
      </c>
      <c r="B52" s="14" t="s">
        <v>505</v>
      </c>
      <c r="C52" s="14" t="s">
        <v>245</v>
      </c>
      <c r="D52" s="15" t="n">
        <v>350</v>
      </c>
      <c r="E52" s="15" t="s">
        <v>506</v>
      </c>
      <c r="F52" s="14" t="s">
        <v>1976</v>
      </c>
      <c r="G52" s="14" t="n">
        <f aca="false">COUNTIF(Items!$E:$E,A52)</f>
        <v>2</v>
      </c>
    </row>
    <row r="53" customFormat="false" ht="48" hidden="false" customHeight="true" outlineLevel="0" collapsed="false">
      <c r="A53" s="14" t="s">
        <v>277</v>
      </c>
      <c r="B53" s="14" t="s">
        <v>278</v>
      </c>
      <c r="C53" s="14" t="s">
        <v>158</v>
      </c>
      <c r="D53" s="15" t="n">
        <v>200</v>
      </c>
      <c r="E53" s="15" t="s">
        <v>1977</v>
      </c>
      <c r="F53" s="14" t="s">
        <v>1978</v>
      </c>
      <c r="G53" s="14" t="n">
        <f aca="false">COUNTIF(Items!$E:$E,A53)</f>
        <v>8</v>
      </c>
    </row>
    <row r="54" customFormat="false" ht="48" hidden="false" customHeight="true" outlineLevel="0" collapsed="false">
      <c r="A54" s="14" t="s">
        <v>269</v>
      </c>
      <c r="B54" s="14" t="s">
        <v>270</v>
      </c>
      <c r="C54" s="14" t="s">
        <v>77</v>
      </c>
      <c r="D54" s="15" t="n">
        <v>1500</v>
      </c>
      <c r="E54" s="15" t="s">
        <v>271</v>
      </c>
      <c r="F54" s="14" t="s">
        <v>1979</v>
      </c>
      <c r="G54" s="14" t="n">
        <f aca="false">COUNTIF(Items!$E:$E,A54)</f>
        <v>2</v>
      </c>
    </row>
    <row r="55" customFormat="false" ht="48" hidden="false" customHeight="true" outlineLevel="0" collapsed="false">
      <c r="A55" s="14" t="s">
        <v>496</v>
      </c>
      <c r="B55" s="14" t="s">
        <v>497</v>
      </c>
      <c r="C55" s="14" t="s">
        <v>245</v>
      </c>
      <c r="D55" s="15" t="n">
        <v>40</v>
      </c>
      <c r="E55" s="15" t="s">
        <v>498</v>
      </c>
      <c r="F55" s="14" t="s">
        <v>1980</v>
      </c>
      <c r="G55" s="14" t="n">
        <f aca="false">COUNTIF(Items!$E:$E,A55)</f>
        <v>5</v>
      </c>
    </row>
    <row r="56" customFormat="false" ht="48" hidden="false" customHeight="true" outlineLevel="0" collapsed="false">
      <c r="A56" s="14" t="s">
        <v>359</v>
      </c>
      <c r="B56" s="14" t="s">
        <v>360</v>
      </c>
      <c r="C56" s="14" t="s">
        <v>169</v>
      </c>
      <c r="D56" s="15" t="n">
        <v>10</v>
      </c>
      <c r="E56" s="15" t="s">
        <v>361</v>
      </c>
      <c r="F56" s="14" t="s">
        <v>1981</v>
      </c>
      <c r="G56" s="14" t="n">
        <f aca="false">COUNTIF(Items!$E:$E,A56)</f>
        <v>10</v>
      </c>
    </row>
    <row r="57" customFormat="false" ht="48" hidden="false" customHeight="true" outlineLevel="0" collapsed="false">
      <c r="A57" s="14" t="s">
        <v>285</v>
      </c>
      <c r="B57" s="14" t="s">
        <v>286</v>
      </c>
      <c r="C57" s="14" t="s">
        <v>245</v>
      </c>
      <c r="D57" s="15" t="n">
        <v>80</v>
      </c>
      <c r="E57" s="15" t="s">
        <v>1982</v>
      </c>
      <c r="F57" s="14" t="s">
        <v>1983</v>
      </c>
      <c r="G57" s="14" t="n">
        <f aca="false">COUNTIF(Items!$E:$E,A57)</f>
        <v>9</v>
      </c>
    </row>
    <row r="58" customFormat="false" ht="48" hidden="false" customHeight="true" outlineLevel="0" collapsed="false">
      <c r="A58" s="14" t="s">
        <v>523</v>
      </c>
      <c r="B58" s="14" t="s">
        <v>524</v>
      </c>
      <c r="C58" s="14" t="s">
        <v>245</v>
      </c>
      <c r="D58" s="15" t="n">
        <v>400</v>
      </c>
      <c r="E58" s="15" t="s">
        <v>525</v>
      </c>
      <c r="F58" s="14" t="s">
        <v>1984</v>
      </c>
      <c r="G58" s="14" t="n">
        <f aca="false">COUNTIF(Items!$E:$E,A58)</f>
        <v>3</v>
      </c>
    </row>
    <row r="59" customFormat="false" ht="48" hidden="false" customHeight="true" outlineLevel="0" collapsed="false">
      <c r="A59" s="14" t="s">
        <v>293</v>
      </c>
      <c r="B59" s="14" t="s">
        <v>294</v>
      </c>
      <c r="C59" s="14" t="s">
        <v>77</v>
      </c>
      <c r="D59" s="15" t="n">
        <v>12</v>
      </c>
      <c r="E59" s="15" t="s">
        <v>538</v>
      </c>
      <c r="F59" s="14" t="s">
        <v>1985</v>
      </c>
      <c r="G59" s="14" t="n">
        <f aca="false">COUNTIF(Items!$E:$E,A59)</f>
        <v>10</v>
      </c>
    </row>
    <row r="60" customFormat="false" ht="48" hidden="false" customHeight="true" outlineLevel="0" collapsed="false">
      <c r="A60" s="14" t="s">
        <v>350</v>
      </c>
      <c r="B60" s="14" t="s">
        <v>351</v>
      </c>
      <c r="C60" s="14" t="s">
        <v>158</v>
      </c>
      <c r="D60" s="15" t="n">
        <v>2700</v>
      </c>
      <c r="E60" s="15" t="s">
        <v>532</v>
      </c>
      <c r="F60" s="14" t="s">
        <v>1986</v>
      </c>
      <c r="G60" s="14" t="n">
        <f aca="false">COUNTIF(Items!$E:$E,A60)</f>
        <v>5</v>
      </c>
    </row>
    <row r="61" customFormat="false" ht="48" hidden="false" customHeight="true" outlineLevel="0" collapsed="false">
      <c r="A61" s="14" t="s">
        <v>302</v>
      </c>
      <c r="B61" s="14" t="s">
        <v>303</v>
      </c>
      <c r="C61" s="14" t="s">
        <v>169</v>
      </c>
      <c r="D61" s="15" t="n">
        <v>150</v>
      </c>
      <c r="E61" s="15" t="s">
        <v>1987</v>
      </c>
      <c r="F61" s="14" t="s">
        <v>1988</v>
      </c>
      <c r="G61" s="14" t="n">
        <f aca="false">COUNTIF(Items!$E:$E,A61)</f>
        <v>12</v>
      </c>
    </row>
    <row r="62" customFormat="false" ht="15" hidden="false" customHeight="true" outlineLevel="0" collapsed="false">
      <c r="F62" s="9" t="s">
        <v>1989</v>
      </c>
      <c r="G62" s="9" t="n">
        <f aca="false">SUM(G2:G61)</f>
        <v>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9"/>
    <col collapsed="false" customWidth="true" hidden="false" outlineLevel="0" max="4" min="4" style="1" width="10"/>
    <col collapsed="false" customWidth="true" hidden="false" outlineLevel="0" max="5" min="5" style="1" width="9"/>
    <col collapsed="false" customWidth="true" hidden="false" outlineLevel="0" max="6" min="6" style="1" width="80"/>
    <col collapsed="false" customWidth="true" hidden="false" outlineLevel="0" max="7" min="7" style="1" width="12"/>
  </cols>
  <sheetData>
    <row r="1" customFormat="false" ht="31.5" hidden="false" customHeight="true" outlineLevel="0" collapsed="false">
      <c r="A1" s="5" t="s">
        <v>1990</v>
      </c>
      <c r="B1" s="5" t="s">
        <v>1991</v>
      </c>
      <c r="C1" s="5" t="s">
        <v>1992</v>
      </c>
      <c r="D1" s="5" t="s">
        <v>1993</v>
      </c>
      <c r="E1" s="5" t="s">
        <v>1994</v>
      </c>
      <c r="F1" s="5" t="s">
        <v>1995</v>
      </c>
      <c r="G1" s="5" t="s">
        <v>1996</v>
      </c>
    </row>
    <row r="2" customFormat="false" ht="15" hidden="false" customHeight="true" outlineLevel="0" collapsed="false">
      <c r="A2" s="14" t="s">
        <v>184</v>
      </c>
      <c r="B2" s="15" t="s">
        <v>1997</v>
      </c>
      <c r="C2" s="16"/>
      <c r="D2" s="15" t="n">
        <v>0.42</v>
      </c>
      <c r="E2" s="15" t="n">
        <v>0</v>
      </c>
      <c r="F2" s="14" t="s">
        <v>1998</v>
      </c>
      <c r="G2" s="14" t="n">
        <f aca="false">COUNTIF(Items!$R:$R,"*"&amp;A2&amp;"*")</f>
        <v>25</v>
      </c>
    </row>
    <row r="3" customFormat="false" ht="15" hidden="false" customHeight="true" outlineLevel="0" collapsed="false">
      <c r="A3" s="14" t="s">
        <v>980</v>
      </c>
      <c r="B3" s="15" t="s">
        <v>1999</v>
      </c>
      <c r="C3" s="17"/>
      <c r="D3" s="15" t="n">
        <v>0.5</v>
      </c>
      <c r="E3" s="15" t="n">
        <v>0</v>
      </c>
      <c r="F3" s="14" t="s">
        <v>2000</v>
      </c>
      <c r="G3" s="14" t="n">
        <f aca="false">COUNTIF(Items!$R:$R,"*"&amp;A3&amp;"*")</f>
        <v>11</v>
      </c>
    </row>
    <row r="4" customFormat="false" ht="15" hidden="false" customHeight="true" outlineLevel="0" collapsed="false">
      <c r="A4" s="14" t="s">
        <v>2001</v>
      </c>
      <c r="B4" s="15" t="s">
        <v>2002</v>
      </c>
      <c r="C4" s="18"/>
      <c r="D4" s="15" t="n">
        <v>0.45</v>
      </c>
      <c r="E4" s="15" t="n">
        <v>0</v>
      </c>
      <c r="F4" s="14" t="s">
        <v>2003</v>
      </c>
      <c r="G4" s="14" t="n">
        <f aca="false">COUNTIF(Items!$R:$R,"*"&amp;A4&amp;"*")</f>
        <v>4</v>
      </c>
    </row>
    <row r="5" customFormat="false" ht="15" hidden="false" customHeight="true" outlineLevel="0" collapsed="false">
      <c r="A5" s="14" t="s">
        <v>705</v>
      </c>
      <c r="B5" s="15" t="s">
        <v>2004</v>
      </c>
      <c r="C5" s="19"/>
      <c r="D5" s="15" t="n">
        <v>0.6</v>
      </c>
      <c r="E5" s="15" t="n">
        <v>0</v>
      </c>
      <c r="F5" s="14" t="s">
        <v>2005</v>
      </c>
      <c r="G5" s="14" t="n">
        <f aca="false">COUNTIF(Items!$R:$R,"*"&amp;A5&amp;"*")</f>
        <v>10</v>
      </c>
    </row>
    <row r="6" customFormat="false" ht="15" hidden="false" customHeight="true" outlineLevel="0" collapsed="false">
      <c r="A6" s="14" t="s">
        <v>122</v>
      </c>
      <c r="B6" s="15" t="s">
        <v>2006</v>
      </c>
      <c r="C6" s="20"/>
      <c r="D6" s="15" t="n">
        <v>0.55</v>
      </c>
      <c r="E6" s="15" t="n">
        <v>0</v>
      </c>
      <c r="F6" s="14" t="s">
        <v>2007</v>
      </c>
      <c r="G6" s="14" t="n">
        <f aca="false">COUNTIF(Items!$R:$R,"*"&amp;A6&amp;"*")</f>
        <v>10</v>
      </c>
    </row>
    <row r="7" customFormat="false" ht="15" hidden="false" customHeight="true" outlineLevel="0" collapsed="false">
      <c r="A7" s="14" t="s">
        <v>894</v>
      </c>
      <c r="B7" s="15" t="s">
        <v>2008</v>
      </c>
      <c r="C7" s="21"/>
      <c r="D7" s="15" t="n">
        <v>0.55</v>
      </c>
      <c r="E7" s="15" t="n">
        <v>0</v>
      </c>
      <c r="F7" s="14" t="s">
        <v>2009</v>
      </c>
      <c r="G7" s="14" t="n">
        <f aca="false">COUNTIF(Items!$R:$R,"*"&amp;A7&amp;"*")</f>
        <v>3</v>
      </c>
    </row>
    <row r="8" customFormat="false" ht="15" hidden="false" customHeight="true" outlineLevel="0" collapsed="false">
      <c r="A8" s="14" t="s">
        <v>1151</v>
      </c>
      <c r="B8" s="15" t="s">
        <v>2010</v>
      </c>
      <c r="C8" s="22"/>
      <c r="D8" s="15" t="n">
        <v>0.55</v>
      </c>
      <c r="E8" s="15" t="n">
        <v>0</v>
      </c>
      <c r="F8" s="14" t="s">
        <v>2011</v>
      </c>
      <c r="G8" s="14" t="n">
        <f aca="false">COUNTIF(Items!$R:$R,"*"&amp;A8&amp;"*")</f>
        <v>3</v>
      </c>
    </row>
    <row r="9" customFormat="false" ht="15" hidden="false" customHeight="true" outlineLevel="0" collapsed="false">
      <c r="A9" s="14" t="s">
        <v>2012</v>
      </c>
      <c r="B9" s="15" t="s">
        <v>2013</v>
      </c>
      <c r="C9" s="23"/>
      <c r="D9" s="15" t="n">
        <v>0.5</v>
      </c>
      <c r="E9" s="15" t="n">
        <v>0</v>
      </c>
      <c r="F9" s="14" t="s">
        <v>2014</v>
      </c>
      <c r="G9" s="14" t="n">
        <f aca="false">COUNTIF(Items!$R:$R,"*"&amp;A9&amp;"*")</f>
        <v>1</v>
      </c>
    </row>
    <row r="10" customFormat="false" ht="15" hidden="false" customHeight="true" outlineLevel="0" collapsed="false">
      <c r="A10" s="14" t="s">
        <v>80</v>
      </c>
      <c r="B10" s="15" t="s">
        <v>2015</v>
      </c>
      <c r="C10" s="24"/>
      <c r="D10" s="15" t="n">
        <v>0.95</v>
      </c>
      <c r="E10" s="15" t="n">
        <v>0</v>
      </c>
      <c r="F10" s="14" t="s">
        <v>2016</v>
      </c>
      <c r="G10" s="14" t="n">
        <f aca="false">COUNTIF(Items!$R:$R,"*"&amp;A10&amp;"*")</f>
        <v>11</v>
      </c>
    </row>
    <row r="11" customFormat="false" ht="15" hidden="false" customHeight="true" outlineLevel="0" collapsed="false">
      <c r="A11" s="14" t="s">
        <v>2017</v>
      </c>
      <c r="B11" s="15" t="s">
        <v>2018</v>
      </c>
      <c r="C11" s="25"/>
      <c r="D11" s="15" t="n">
        <v>0.95</v>
      </c>
      <c r="E11" s="15" t="n">
        <v>0</v>
      </c>
      <c r="F11" s="14" t="s">
        <v>2019</v>
      </c>
      <c r="G11" s="14" t="n">
        <f aca="false">COUNTIF(Items!$R:$R,"*"&amp;A11&amp;"*")</f>
        <v>2</v>
      </c>
    </row>
    <row r="12" customFormat="false" ht="15" hidden="false" customHeight="true" outlineLevel="0" collapsed="false">
      <c r="A12" s="14" t="s">
        <v>2020</v>
      </c>
      <c r="B12" s="15" t="s">
        <v>2021</v>
      </c>
      <c r="C12" s="26"/>
      <c r="D12" s="15" t="n">
        <v>0.18</v>
      </c>
      <c r="E12" s="15" t="n">
        <v>0</v>
      </c>
      <c r="F12" s="14" t="s">
        <v>2022</v>
      </c>
      <c r="G12" s="14" t="n">
        <f aca="false">COUNTIF(Items!$R:$R,"*"&amp;A12&amp;"*")</f>
        <v>1</v>
      </c>
    </row>
    <row r="13" customFormat="false" ht="15" hidden="false" customHeight="true" outlineLevel="0" collapsed="false">
      <c r="A13" s="14" t="s">
        <v>741</v>
      </c>
      <c r="B13" s="15" t="s">
        <v>2023</v>
      </c>
      <c r="C13" s="27"/>
      <c r="D13" s="15" t="n">
        <v>0.2</v>
      </c>
      <c r="E13" s="15" t="n">
        <v>0</v>
      </c>
      <c r="F13" s="14" t="s">
        <v>2024</v>
      </c>
      <c r="G13" s="14" t="n">
        <f aca="false">COUNTIF(Items!$R:$R,"*"&amp;A13&amp;"*")</f>
        <v>8</v>
      </c>
    </row>
    <row r="14" customFormat="false" ht="15" hidden="false" customHeight="true" outlineLevel="0" collapsed="false">
      <c r="A14" s="14" t="s">
        <v>2025</v>
      </c>
      <c r="B14" s="15" t="s">
        <v>2026</v>
      </c>
      <c r="C14" s="28"/>
      <c r="D14" s="15" t="n">
        <v>0.2</v>
      </c>
      <c r="E14" s="15" t="n">
        <v>0</v>
      </c>
      <c r="F14" s="14" t="s">
        <v>2027</v>
      </c>
      <c r="G14" s="14" t="n">
        <f aca="false">COUNTIF(Items!$R:$R,"*"&amp;A14&amp;"*")</f>
        <v>11</v>
      </c>
    </row>
    <row r="15" customFormat="false" ht="15" hidden="false" customHeight="true" outlineLevel="0" collapsed="false">
      <c r="A15" s="14" t="s">
        <v>92</v>
      </c>
      <c r="B15" s="15" t="s">
        <v>2028</v>
      </c>
      <c r="C15" s="29"/>
      <c r="D15" s="15" t="n">
        <v>0.6</v>
      </c>
      <c r="E15" s="15" t="n">
        <v>0</v>
      </c>
      <c r="F15" s="14" t="s">
        <v>2029</v>
      </c>
      <c r="G15" s="14" t="n">
        <f aca="false">COUNTIF(Items!$R:$R,"*"&amp;A15&amp;"*")</f>
        <v>18</v>
      </c>
    </row>
    <row r="16" customFormat="false" ht="15" hidden="false" customHeight="true" outlineLevel="0" collapsed="false">
      <c r="A16" s="14" t="s">
        <v>2030</v>
      </c>
      <c r="B16" s="15" t="s">
        <v>2031</v>
      </c>
      <c r="C16" s="30"/>
      <c r="D16" s="15" t="n">
        <v>0.35</v>
      </c>
      <c r="E16" s="15" t="n">
        <v>0</v>
      </c>
      <c r="F16" s="14" t="s">
        <v>2032</v>
      </c>
      <c r="G16" s="14" t="n">
        <f aca="false">COUNTIF(Items!$R:$R,"*"&amp;A16&amp;"*")</f>
        <v>1</v>
      </c>
    </row>
    <row r="17" customFormat="false" ht="15" hidden="false" customHeight="true" outlineLevel="0" collapsed="false">
      <c r="A17" s="14" t="s">
        <v>775</v>
      </c>
      <c r="B17" s="15" t="s">
        <v>2033</v>
      </c>
      <c r="C17" s="31"/>
      <c r="D17" s="15" t="n">
        <v>0.6</v>
      </c>
      <c r="E17" s="15" t="n">
        <v>0</v>
      </c>
      <c r="F17" s="14" t="s">
        <v>2034</v>
      </c>
      <c r="G17" s="14" t="n">
        <f aca="false">COUNTIF(Items!$R:$R,"*"&amp;A17&amp;"*")</f>
        <v>6</v>
      </c>
    </row>
    <row r="18" customFormat="false" ht="15" hidden="false" customHeight="true" outlineLevel="0" collapsed="false">
      <c r="A18" s="14" t="s">
        <v>762</v>
      </c>
      <c r="B18" s="15" t="s">
        <v>2035</v>
      </c>
      <c r="C18" s="32"/>
      <c r="D18" s="15" t="n">
        <v>0.35</v>
      </c>
      <c r="E18" s="15" t="n">
        <v>0</v>
      </c>
      <c r="F18" s="14" t="s">
        <v>2036</v>
      </c>
      <c r="G18" s="14" t="n">
        <f aca="false">COUNTIF(Items!$R:$R,"*"&amp;A18&amp;"*")</f>
        <v>3</v>
      </c>
    </row>
    <row r="19" customFormat="false" ht="15" hidden="false" customHeight="true" outlineLevel="0" collapsed="false">
      <c r="A19" s="14" t="s">
        <v>209</v>
      </c>
      <c r="B19" s="15" t="s">
        <v>2037</v>
      </c>
      <c r="C19" s="33"/>
      <c r="D19" s="15" t="n">
        <v>0.55</v>
      </c>
      <c r="E19" s="15" t="n">
        <v>0</v>
      </c>
      <c r="F19" s="14" t="s">
        <v>2038</v>
      </c>
      <c r="G19" s="14" t="n">
        <f aca="false">COUNTIF(Items!$R:$R,"*"&amp;A19&amp;"*")</f>
        <v>4</v>
      </c>
    </row>
    <row r="20" customFormat="false" ht="15" hidden="false" customHeight="true" outlineLevel="0" collapsed="false">
      <c r="A20" s="14" t="s">
        <v>1377</v>
      </c>
      <c r="B20" s="15" t="s">
        <v>2039</v>
      </c>
      <c r="C20" s="34"/>
      <c r="D20" s="15" t="n">
        <v>0.85</v>
      </c>
      <c r="E20" s="15" t="n">
        <v>0</v>
      </c>
      <c r="F20" s="14" t="s">
        <v>2040</v>
      </c>
      <c r="G20" s="14" t="n">
        <f aca="false">COUNTIF(Items!$R:$R,"*"&amp;A20&amp;"*")</f>
        <v>2</v>
      </c>
    </row>
    <row r="21" customFormat="false" ht="15" hidden="false" customHeight="true" outlineLevel="0" collapsed="false">
      <c r="A21" s="14" t="s">
        <v>196</v>
      </c>
      <c r="B21" s="15" t="s">
        <v>2041</v>
      </c>
      <c r="C21" s="35"/>
      <c r="D21" s="15" t="n">
        <v>0.3</v>
      </c>
      <c r="E21" s="15" t="n">
        <v>1</v>
      </c>
      <c r="F21" s="14" t="s">
        <v>2042</v>
      </c>
      <c r="G21" s="14" t="n">
        <f aca="false">COUNTIF(Items!$R:$R,"*"&amp;A21&amp;"*")</f>
        <v>47</v>
      </c>
    </row>
    <row r="22" customFormat="false" ht="15" hidden="false" customHeight="true" outlineLevel="0" collapsed="false">
      <c r="A22" s="14" t="s">
        <v>441</v>
      </c>
      <c r="B22" s="15" t="s">
        <v>2043</v>
      </c>
      <c r="C22" s="36"/>
      <c r="D22" s="15" t="n">
        <v>0.32</v>
      </c>
      <c r="E22" s="15" t="n">
        <v>1</v>
      </c>
      <c r="F22" s="14" t="s">
        <v>2044</v>
      </c>
      <c r="G22" s="14" t="n">
        <f aca="false">COUNTIF(Items!$R:$R,"*"&amp;A22&amp;"*")</f>
        <v>23</v>
      </c>
    </row>
    <row r="23" customFormat="false" ht="15" hidden="false" customHeight="true" outlineLevel="0" collapsed="false">
      <c r="A23" s="14" t="s">
        <v>2045</v>
      </c>
      <c r="B23" s="15" t="s">
        <v>2046</v>
      </c>
      <c r="C23" s="37"/>
      <c r="D23" s="15" t="n">
        <v>0.45</v>
      </c>
      <c r="E23" s="15" t="n">
        <v>1</v>
      </c>
      <c r="F23" s="14" t="s">
        <v>2047</v>
      </c>
      <c r="G23" s="14" t="n">
        <f aca="false">COUNTIF(Items!$R:$R,"*"&amp;A23&amp;"*")</f>
        <v>2</v>
      </c>
    </row>
    <row r="24" customFormat="false" ht="15" hidden="false" customHeight="true" outlineLevel="0" collapsed="false">
      <c r="A24" s="14" t="s">
        <v>570</v>
      </c>
      <c r="B24" s="15" t="s">
        <v>2048</v>
      </c>
      <c r="C24" s="38"/>
      <c r="D24" s="15" t="n">
        <v>0.02</v>
      </c>
      <c r="E24" s="15" t="n">
        <v>0</v>
      </c>
      <c r="F24" s="14" t="s">
        <v>2049</v>
      </c>
      <c r="G24" s="14" t="n">
        <f aca="false">COUNTIF(Items!$R:$R,"*"&amp;A24&amp;"*")</f>
        <v>11</v>
      </c>
    </row>
    <row r="25" customFormat="false" ht="15" hidden="false" customHeight="true" outlineLevel="0" collapsed="false">
      <c r="A25" s="14" t="s">
        <v>2050</v>
      </c>
      <c r="B25" s="15" t="s">
        <v>2051</v>
      </c>
      <c r="C25" s="39"/>
      <c r="D25" s="15" t="n">
        <v>0.05</v>
      </c>
      <c r="E25" s="15" t="n">
        <v>0</v>
      </c>
      <c r="F25" s="14" t="s">
        <v>2052</v>
      </c>
      <c r="G25" s="14" t="n">
        <f aca="false">COUNTIF(Items!$R:$R,"*"&amp;A25&amp;"*")</f>
        <v>0</v>
      </c>
    </row>
    <row r="26" customFormat="false" ht="15" hidden="false" customHeight="true" outlineLevel="0" collapsed="false">
      <c r="A26" s="14" t="s">
        <v>638</v>
      </c>
      <c r="B26" s="15" t="s">
        <v>2053</v>
      </c>
      <c r="C26" s="40"/>
      <c r="D26" s="15" t="n">
        <v>0.5</v>
      </c>
      <c r="E26" s="15" t="n">
        <v>0</v>
      </c>
      <c r="F26" s="14" t="s">
        <v>2054</v>
      </c>
      <c r="G26" s="14" t="n">
        <f aca="false">COUNTIF(Items!$R:$R,"*"&amp;A26&amp;"*")</f>
        <v>5</v>
      </c>
    </row>
    <row r="27" customFormat="false" ht="15" hidden="false" customHeight="true" outlineLevel="0" collapsed="false">
      <c r="A27" s="14" t="s">
        <v>714</v>
      </c>
      <c r="B27" s="15" t="s">
        <v>2055</v>
      </c>
      <c r="C27" s="41"/>
      <c r="D27" s="15" t="n">
        <v>0.25</v>
      </c>
      <c r="E27" s="15" t="n">
        <v>0</v>
      </c>
      <c r="F27" s="14" t="s">
        <v>2056</v>
      </c>
      <c r="G27" s="14" t="n">
        <f aca="false">COUNTIF(Items!$R:$R,"*"&amp;A27&amp;"*")</f>
        <v>2</v>
      </c>
    </row>
    <row r="28" customFormat="false" ht="15" hidden="false" customHeight="true" outlineLevel="0" collapsed="false">
      <c r="A28" s="14" t="s">
        <v>507</v>
      </c>
      <c r="B28" s="15" t="s">
        <v>2057</v>
      </c>
      <c r="C28" s="42"/>
      <c r="D28" s="15" t="n">
        <v>0.4</v>
      </c>
      <c r="E28" s="15" t="n">
        <v>0</v>
      </c>
      <c r="F28" s="14" t="s">
        <v>2058</v>
      </c>
      <c r="G28" s="14" t="n">
        <f aca="false">COUNTIF(Items!$R:$R,"*"&amp;A28&amp;"*")</f>
        <v>1</v>
      </c>
    </row>
    <row r="29" customFormat="false" ht="15" hidden="false" customHeight="true" outlineLevel="0" collapsed="false">
      <c r="A29" s="14" t="s">
        <v>353</v>
      </c>
      <c r="B29" s="15" t="s">
        <v>2059</v>
      </c>
      <c r="C29" s="43"/>
      <c r="D29" s="15" t="n">
        <v>0.85</v>
      </c>
      <c r="E29" s="15" t="n">
        <v>0</v>
      </c>
      <c r="F29" s="14" t="s">
        <v>2060</v>
      </c>
      <c r="G29" s="14" t="n">
        <f aca="false">COUNTIF(Items!$R:$R,"*"&amp;A29&amp;"*")</f>
        <v>6</v>
      </c>
    </row>
    <row r="30" customFormat="false" ht="15" hidden="false" customHeight="true" outlineLevel="0" collapsed="false">
      <c r="A30" s="14" t="s">
        <v>296</v>
      </c>
      <c r="B30" s="15" t="s">
        <v>2061</v>
      </c>
      <c r="C30" s="44"/>
      <c r="D30" s="15" t="n">
        <v>1</v>
      </c>
      <c r="E30" s="15" t="n">
        <v>0</v>
      </c>
      <c r="F30" s="14" t="s">
        <v>2062</v>
      </c>
      <c r="G30" s="14" t="n">
        <f aca="false">COUNTIF(Items!$R:$R,"*"&amp;A30&amp;"*")</f>
        <v>12</v>
      </c>
    </row>
    <row r="31" customFormat="false" ht="15" hidden="false" customHeight="true" outlineLevel="0" collapsed="false">
      <c r="A31" s="14" t="s">
        <v>172</v>
      </c>
      <c r="B31" s="15" t="s">
        <v>2063</v>
      </c>
      <c r="C31" s="45"/>
      <c r="D31" s="15" t="n">
        <v>0.5</v>
      </c>
      <c r="E31" s="15" t="n">
        <v>0</v>
      </c>
      <c r="F31" s="14" t="s">
        <v>2064</v>
      </c>
      <c r="G31" s="14" t="n">
        <f aca="false">COUNTIF(Items!$R:$R,"*"&amp;A31&amp;"*")</f>
        <v>8</v>
      </c>
    </row>
    <row r="32" customFormat="false" ht="15" hidden="false" customHeight="true" outlineLevel="0" collapsed="false">
      <c r="A32" s="14" t="s">
        <v>1241</v>
      </c>
      <c r="B32" s="15" t="s">
        <v>2065</v>
      </c>
      <c r="C32" s="46"/>
      <c r="D32" s="15" t="n">
        <v>0.35</v>
      </c>
      <c r="E32" s="15" t="n">
        <v>0</v>
      </c>
      <c r="F32" s="14" t="s">
        <v>2066</v>
      </c>
      <c r="G32" s="14" t="n">
        <f aca="false">COUNTIF(Items!$R:$R,"*"&amp;A32&amp;"*")</f>
        <v>7</v>
      </c>
    </row>
    <row r="33" customFormat="false" ht="15" hidden="false" customHeight="true" outlineLevel="0" collapsed="false">
      <c r="A33" s="14" t="s">
        <v>334</v>
      </c>
      <c r="B33" s="15" t="s">
        <v>2067</v>
      </c>
      <c r="C33" s="47"/>
      <c r="D33" s="15" t="n">
        <v>0.55</v>
      </c>
      <c r="E33" s="15" t="n">
        <v>0</v>
      </c>
      <c r="F33" s="14" t="s">
        <v>2068</v>
      </c>
      <c r="G33" s="14" t="n">
        <f aca="false">COUNTIF(Items!$R:$R,"*"&amp;A33&amp;"*")</f>
        <v>21</v>
      </c>
    </row>
    <row r="34" customFormat="false" ht="15" hidden="false" customHeight="true" outlineLevel="0" collapsed="false">
      <c r="A34" s="14" t="s">
        <v>2069</v>
      </c>
      <c r="B34" s="15" t="s">
        <v>2070</v>
      </c>
      <c r="C34" s="48"/>
      <c r="D34" s="15" t="n">
        <v>0.9</v>
      </c>
      <c r="E34" s="15" t="n">
        <v>0</v>
      </c>
      <c r="F34" s="14" t="s">
        <v>2071</v>
      </c>
      <c r="G34" s="14" t="n">
        <f aca="false">COUNTIF(Items!$R:$R,"*"&amp;A34&amp;"*")</f>
        <v>3</v>
      </c>
    </row>
    <row r="35" customFormat="false" ht="15" hidden="false" customHeight="true" outlineLevel="0" collapsed="false">
      <c r="A35" s="14" t="s">
        <v>2072</v>
      </c>
      <c r="B35" s="15" t="s">
        <v>2073</v>
      </c>
      <c r="C35" s="49"/>
      <c r="D35" s="15" t="n">
        <v>0.95</v>
      </c>
      <c r="E35" s="15" t="n">
        <v>0</v>
      </c>
      <c r="F35" s="14" t="s">
        <v>2074</v>
      </c>
      <c r="G35" s="14" t="n">
        <f aca="false">COUNTIF(Items!$R:$R,"*"&amp;A35&amp;"*")</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160"/>
  </cols>
  <sheetData>
    <row r="1" customFormat="false" ht="15" hidden="false" customHeight="true" outlineLevel="0" collapsed="false">
      <c r="A1" s="50" t="s">
        <v>2075</v>
      </c>
      <c r="B1" s="50" t="s">
        <v>2076</v>
      </c>
      <c r="C1" s="50" t="s">
        <v>2077</v>
      </c>
    </row>
    <row r="2" customFormat="false" ht="408.75" hidden="false" customHeight="true" outlineLevel="0" collapsed="false">
      <c r="A2" s="13" t="n">
        <v>1</v>
      </c>
      <c r="B2" s="13" t="s">
        <v>373</v>
      </c>
      <c r="C2" s="14" t="s">
        <v>2078</v>
      </c>
    </row>
    <row r="3" customFormat="false" ht="408.75" hidden="false" customHeight="true" outlineLevel="0" collapsed="false">
      <c r="A3" s="13" t="n">
        <v>2</v>
      </c>
      <c r="B3" s="13" t="s">
        <v>381</v>
      </c>
      <c r="C3" s="14" t="s">
        <v>2079</v>
      </c>
    </row>
    <row r="4" customFormat="false" ht="408.75" hidden="false" customHeight="true" outlineLevel="0" collapsed="false">
      <c r="A4" s="13" t="n">
        <v>3</v>
      </c>
      <c r="B4" s="13" t="s">
        <v>399</v>
      </c>
      <c r="C4" s="14" t="s">
        <v>2080</v>
      </c>
    </row>
    <row r="5" customFormat="false" ht="408.75" hidden="false" customHeight="true" outlineLevel="0" collapsed="false">
      <c r="A5" s="13" t="n">
        <v>4</v>
      </c>
      <c r="B5" s="13" t="s">
        <v>75</v>
      </c>
      <c r="C5" s="14" t="s">
        <v>2081</v>
      </c>
    </row>
    <row r="6" customFormat="false" ht="408.75" hidden="false" customHeight="true" outlineLevel="0" collapsed="false">
      <c r="A6" s="13" t="n">
        <v>5</v>
      </c>
      <c r="B6" s="13" t="s">
        <v>389</v>
      </c>
      <c r="C6" s="14" t="s">
        <v>2082</v>
      </c>
    </row>
    <row r="7" customFormat="false" ht="408.75" hidden="false" customHeight="true" outlineLevel="0" collapsed="false">
      <c r="A7" s="13" t="n">
        <v>6</v>
      </c>
      <c r="B7" s="13" t="s">
        <v>118</v>
      </c>
      <c r="C7" s="14" t="s">
        <v>2083</v>
      </c>
    </row>
    <row r="8" customFormat="false" ht="408.75" hidden="false" customHeight="true" outlineLevel="0" collapsed="false">
      <c r="A8" s="13" t="n">
        <v>7</v>
      </c>
      <c r="B8" s="13" t="s">
        <v>88</v>
      </c>
      <c r="C8" s="14" t="s">
        <v>2084</v>
      </c>
    </row>
    <row r="9" customFormat="false" ht="408.75" hidden="false" customHeight="true" outlineLevel="0" collapsed="false">
      <c r="A9" s="13" t="n">
        <v>8</v>
      </c>
      <c r="B9" s="13" t="s">
        <v>129</v>
      </c>
      <c r="C9" s="14" t="s">
        <v>2085</v>
      </c>
    </row>
    <row r="10" customFormat="false" ht="408.75" hidden="false" customHeight="true" outlineLevel="0" collapsed="false">
      <c r="A10" s="13" t="n">
        <v>9</v>
      </c>
      <c r="B10" s="13" t="s">
        <v>98</v>
      </c>
      <c r="C10" s="14" t="s">
        <v>2086</v>
      </c>
    </row>
    <row r="11" customFormat="false" ht="408.75" hidden="false" customHeight="true" outlineLevel="0" collapsed="false">
      <c r="A11" s="13" t="n">
        <v>10</v>
      </c>
      <c r="B11" s="13" t="s">
        <v>107</v>
      </c>
      <c r="C11" s="14" t="s">
        <v>2087</v>
      </c>
    </row>
    <row r="12" customFormat="false" ht="408.75" hidden="false" customHeight="true" outlineLevel="0" collapsed="false">
      <c r="A12" s="13" t="n">
        <v>11</v>
      </c>
      <c r="B12" s="13" t="s">
        <v>407</v>
      </c>
      <c r="C12" s="14" t="s">
        <v>2088</v>
      </c>
    </row>
    <row r="13" customFormat="false" ht="408.75" hidden="false" customHeight="true" outlineLevel="0" collapsed="false">
      <c r="A13" s="13" t="n">
        <v>12</v>
      </c>
      <c r="B13" s="13" t="s">
        <v>415</v>
      </c>
      <c r="C13" s="14" t="s">
        <v>2089</v>
      </c>
    </row>
    <row r="14" customFormat="false" ht="408.75" hidden="false" customHeight="true" outlineLevel="0" collapsed="false">
      <c r="A14" s="13" t="n">
        <v>13</v>
      </c>
      <c r="B14" s="13" t="s">
        <v>832</v>
      </c>
      <c r="C14" s="14" t="s">
        <v>2090</v>
      </c>
    </row>
    <row r="15" customFormat="false" ht="408.75" hidden="false" customHeight="true" outlineLevel="0" collapsed="false">
      <c r="A15" s="13" t="n">
        <v>14</v>
      </c>
      <c r="B15" s="13" t="s">
        <v>550</v>
      </c>
      <c r="C15" s="14" t="s">
        <v>2091</v>
      </c>
    </row>
    <row r="16" customFormat="false" ht="408.75" hidden="false" customHeight="true" outlineLevel="0" collapsed="false">
      <c r="A16" s="13" t="n">
        <v>15</v>
      </c>
      <c r="B16" s="13" t="s">
        <v>559</v>
      </c>
      <c r="C16" s="14" t="s">
        <v>2092</v>
      </c>
    </row>
    <row r="17" customFormat="false" ht="408.75" hidden="false" customHeight="true" outlineLevel="0" collapsed="false">
      <c r="A17" s="13" t="n">
        <v>16</v>
      </c>
      <c r="B17" s="13" t="s">
        <v>576</v>
      </c>
      <c r="C17" s="14" t="s">
        <v>2093</v>
      </c>
    </row>
    <row r="18" customFormat="false" ht="408.75" hidden="false" customHeight="true" outlineLevel="0" collapsed="false">
      <c r="A18" s="13" t="n">
        <v>17</v>
      </c>
      <c r="B18" s="13" t="s">
        <v>138</v>
      </c>
      <c r="C18" s="14" t="s">
        <v>2094</v>
      </c>
    </row>
    <row r="19" customFormat="false" ht="408.75" hidden="false" customHeight="true" outlineLevel="0" collapsed="false">
      <c r="A19" s="13" t="n">
        <v>18</v>
      </c>
      <c r="B19" s="13" t="s">
        <v>147</v>
      </c>
      <c r="C19" s="14" t="s">
        <v>2095</v>
      </c>
    </row>
    <row r="20" customFormat="false" ht="408.75" hidden="false" customHeight="true" outlineLevel="0" collapsed="false">
      <c r="A20" s="13" t="n">
        <v>19</v>
      </c>
      <c r="B20" s="13" t="s">
        <v>316</v>
      </c>
      <c r="C20" s="14" t="s">
        <v>2096</v>
      </c>
    </row>
    <row r="21" customFormat="false" ht="408.75" hidden="false" customHeight="true" outlineLevel="0" collapsed="false">
      <c r="A21" s="13" t="n">
        <v>20</v>
      </c>
      <c r="B21" s="13" t="s">
        <v>675</v>
      </c>
      <c r="C21" s="14" t="s">
        <v>2097</v>
      </c>
    </row>
    <row r="22" customFormat="false" ht="408.75" hidden="false" customHeight="true" outlineLevel="0" collapsed="false">
      <c r="A22" s="13" t="n">
        <v>21</v>
      </c>
      <c r="B22" s="13" t="s">
        <v>684</v>
      </c>
      <c r="C22" s="14" t="s">
        <v>2098</v>
      </c>
    </row>
    <row r="23" customFormat="false" ht="408.75" hidden="false" customHeight="true" outlineLevel="0" collapsed="false">
      <c r="A23" s="13" t="n">
        <v>22</v>
      </c>
      <c r="B23" s="13" t="s">
        <v>693</v>
      </c>
      <c r="C23" s="14" t="s">
        <v>2099</v>
      </c>
    </row>
    <row r="24" customFormat="false" ht="408.75" hidden="false" customHeight="true" outlineLevel="0" collapsed="false">
      <c r="A24" s="13" t="n">
        <v>23</v>
      </c>
      <c r="B24" s="13" t="s">
        <v>702</v>
      </c>
      <c r="C24" s="14" t="s">
        <v>2100</v>
      </c>
    </row>
    <row r="25" customFormat="false" ht="408.75" hidden="false" customHeight="true" outlineLevel="0" collapsed="false">
      <c r="A25" s="13" t="n">
        <v>24</v>
      </c>
      <c r="B25" s="13" t="s">
        <v>1212</v>
      </c>
      <c r="C25" s="14" t="s">
        <v>2101</v>
      </c>
    </row>
    <row r="26" customFormat="false" ht="408.75" hidden="false" customHeight="true" outlineLevel="0" collapsed="false">
      <c r="A26" s="13" t="n">
        <v>25</v>
      </c>
      <c r="B26" s="13" t="s">
        <v>711</v>
      </c>
      <c r="C26" s="14" t="s">
        <v>2102</v>
      </c>
    </row>
    <row r="27" customFormat="false" ht="408.75" hidden="false" customHeight="true" outlineLevel="0" collapsed="false">
      <c r="A27" s="13" t="n">
        <v>26</v>
      </c>
      <c r="B27" s="13" t="s">
        <v>720</v>
      </c>
      <c r="C27" s="14" t="s">
        <v>2103</v>
      </c>
    </row>
    <row r="28" customFormat="false" ht="408.75" hidden="false" customHeight="true" outlineLevel="0" collapsed="false">
      <c r="A28" s="13" t="n">
        <v>27</v>
      </c>
      <c r="B28" s="13" t="s">
        <v>1290</v>
      </c>
      <c r="C28" s="14" t="s">
        <v>2104</v>
      </c>
    </row>
    <row r="29" customFormat="false" ht="408.75" hidden="false" customHeight="true" outlineLevel="0" collapsed="false">
      <c r="A29" s="13" t="n">
        <v>28</v>
      </c>
      <c r="B29" s="13" t="s">
        <v>1305</v>
      </c>
      <c r="C29" s="14" t="s">
        <v>2105</v>
      </c>
    </row>
    <row r="30" customFormat="false" ht="408.75" hidden="false" customHeight="true" outlineLevel="0" collapsed="false">
      <c r="A30" s="13" t="n">
        <v>29</v>
      </c>
      <c r="B30" s="13" t="s">
        <v>1315</v>
      </c>
      <c r="C30" s="14" t="s">
        <v>2106</v>
      </c>
    </row>
    <row r="31" customFormat="false" ht="408.75" hidden="false" customHeight="true" outlineLevel="0" collapsed="false">
      <c r="A31" s="13" t="n">
        <v>30</v>
      </c>
      <c r="B31" s="13" t="s">
        <v>1324</v>
      </c>
      <c r="C31" s="14" t="s">
        <v>2107</v>
      </c>
    </row>
    <row r="32" customFormat="false" ht="408.75" hidden="false" customHeight="true" outlineLevel="0" collapsed="false">
      <c r="A32" s="13" t="n">
        <v>31</v>
      </c>
      <c r="B32" s="13" t="s">
        <v>1507</v>
      </c>
      <c r="C32" s="14" t="s">
        <v>2108</v>
      </c>
    </row>
    <row r="33" customFormat="false" ht="408.75" hidden="false" customHeight="true" outlineLevel="0" collapsed="false">
      <c r="A33" s="13" t="n">
        <v>32</v>
      </c>
      <c r="B33" s="13" t="s">
        <v>1455</v>
      </c>
      <c r="C33" s="14" t="s">
        <v>2109</v>
      </c>
    </row>
    <row r="34" customFormat="false" ht="408.75" hidden="false" customHeight="true" outlineLevel="0" collapsed="false">
      <c r="A34" s="13" t="n">
        <v>33</v>
      </c>
      <c r="B34" s="13" t="s">
        <v>1580</v>
      </c>
      <c r="C34" s="14" t="s">
        <v>2110</v>
      </c>
    </row>
    <row r="35" customFormat="false" ht="408.75" hidden="false" customHeight="true" outlineLevel="0" collapsed="false">
      <c r="A35" s="13" t="n">
        <v>34</v>
      </c>
      <c r="B35" s="13" t="s">
        <v>156</v>
      </c>
      <c r="C35" s="14" t="s">
        <v>2111</v>
      </c>
    </row>
    <row r="36" customFormat="false" ht="408.75" hidden="false" customHeight="true" outlineLevel="0" collapsed="false">
      <c r="A36" s="13" t="n">
        <v>35</v>
      </c>
      <c r="B36" s="13" t="s">
        <v>481</v>
      </c>
      <c r="C36" s="14" t="s">
        <v>2112</v>
      </c>
    </row>
    <row r="37" customFormat="false" ht="408.75" hidden="false" customHeight="true" outlineLevel="0" collapsed="false">
      <c r="A37" s="13" t="n">
        <v>36</v>
      </c>
      <c r="B37" s="13" t="s">
        <v>167</v>
      </c>
      <c r="C37" s="14" t="s">
        <v>2113</v>
      </c>
    </row>
    <row r="38" customFormat="false" ht="408.75" hidden="false" customHeight="true" outlineLevel="0" collapsed="false">
      <c r="A38" s="13" t="n">
        <v>37</v>
      </c>
      <c r="B38" s="13" t="s">
        <v>567</v>
      </c>
      <c r="C38" s="14" t="s">
        <v>2114</v>
      </c>
    </row>
    <row r="39" customFormat="false" ht="408.75" hidden="false" customHeight="true" outlineLevel="0" collapsed="false">
      <c r="A39" s="13" t="n">
        <v>38</v>
      </c>
      <c r="B39" s="13" t="s">
        <v>331</v>
      </c>
      <c r="C39" s="14" t="s">
        <v>2115</v>
      </c>
    </row>
    <row r="40" customFormat="false" ht="408.75" hidden="false" customHeight="true" outlineLevel="0" collapsed="false">
      <c r="A40" s="13" t="n">
        <v>39</v>
      </c>
      <c r="B40" s="13" t="s">
        <v>1361</v>
      </c>
      <c r="C40" s="14" t="s">
        <v>2116</v>
      </c>
    </row>
    <row r="41" customFormat="false" ht="408.75" hidden="false" customHeight="true" outlineLevel="0" collapsed="false">
      <c r="A41" s="13" t="n">
        <v>40</v>
      </c>
      <c r="B41" s="13" t="s">
        <v>216</v>
      </c>
      <c r="C41" s="14" t="s">
        <v>2117</v>
      </c>
    </row>
    <row r="42" customFormat="false" ht="408.75" hidden="false" customHeight="true" outlineLevel="0" collapsed="false">
      <c r="A42" s="13" t="n">
        <v>41</v>
      </c>
      <c r="B42" s="13" t="s">
        <v>629</v>
      </c>
      <c r="C42" s="14" t="s">
        <v>2118</v>
      </c>
    </row>
    <row r="43" customFormat="false" ht="408.75" hidden="false" customHeight="true" outlineLevel="0" collapsed="false">
      <c r="A43" s="13" t="n">
        <v>42</v>
      </c>
      <c r="B43" s="13" t="s">
        <v>206</v>
      </c>
      <c r="C43" s="14" t="s">
        <v>2119</v>
      </c>
    </row>
    <row r="44" customFormat="false" ht="408.75" hidden="false" customHeight="true" outlineLevel="0" collapsed="false">
      <c r="A44" s="13" t="n">
        <v>43</v>
      </c>
      <c r="B44" s="13" t="s">
        <v>235</v>
      </c>
      <c r="C44" s="14" t="s">
        <v>2120</v>
      </c>
    </row>
    <row r="45" customFormat="false" ht="408.75" hidden="false" customHeight="true" outlineLevel="0" collapsed="false">
      <c r="A45" s="13" t="n">
        <v>44</v>
      </c>
      <c r="B45" s="13" t="s">
        <v>243</v>
      </c>
      <c r="C45" s="14" t="s">
        <v>2121</v>
      </c>
    </row>
    <row r="46" customFormat="false" ht="408.75" hidden="false" customHeight="true" outlineLevel="0" collapsed="false">
      <c r="A46" s="13" t="n">
        <v>45</v>
      </c>
      <c r="B46" s="13" t="s">
        <v>226</v>
      </c>
      <c r="C46" s="14" t="s">
        <v>2122</v>
      </c>
    </row>
    <row r="47" customFormat="false" ht="408.75" hidden="false" customHeight="true" outlineLevel="0" collapsed="false">
      <c r="A47" s="13" t="n">
        <v>46</v>
      </c>
      <c r="B47" s="13" t="s">
        <v>252</v>
      </c>
      <c r="C47" s="14" t="s">
        <v>2123</v>
      </c>
    </row>
    <row r="48" customFormat="false" ht="408.75" hidden="false" customHeight="true" outlineLevel="0" collapsed="false">
      <c r="A48" s="13" t="n">
        <v>47</v>
      </c>
      <c r="B48" s="13" t="s">
        <v>1389</v>
      </c>
      <c r="C48" s="14" t="s">
        <v>2124</v>
      </c>
    </row>
    <row r="49" customFormat="false" ht="408.75" hidden="false" customHeight="true" outlineLevel="0" collapsed="false">
      <c r="A49" s="13" t="n">
        <v>48</v>
      </c>
      <c r="B49" s="13" t="s">
        <v>1397</v>
      </c>
      <c r="C49" s="14" t="s">
        <v>2125</v>
      </c>
    </row>
    <row r="50" customFormat="false" ht="408.75" hidden="false" customHeight="true" outlineLevel="0" collapsed="false">
      <c r="A50" s="13" t="n">
        <v>49</v>
      </c>
      <c r="B50" s="13" t="s">
        <v>260</v>
      </c>
      <c r="C50" s="14" t="s">
        <v>2126</v>
      </c>
    </row>
    <row r="51" customFormat="false" ht="408.75" hidden="false" customHeight="true" outlineLevel="0" collapsed="false">
      <c r="A51" s="13" t="n">
        <v>50</v>
      </c>
      <c r="B51" s="13" t="s">
        <v>504</v>
      </c>
      <c r="C51" s="14" t="s">
        <v>2127</v>
      </c>
    </row>
    <row r="52" customFormat="false" ht="408.75" hidden="false" customHeight="true" outlineLevel="0" collapsed="false">
      <c r="A52" s="13" t="n">
        <v>51</v>
      </c>
      <c r="B52" s="13" t="s">
        <v>277</v>
      </c>
      <c r="C52" s="14" t="s">
        <v>2128</v>
      </c>
    </row>
    <row r="53" customFormat="false" ht="408.75" hidden="false" customHeight="true" outlineLevel="0" collapsed="false">
      <c r="A53" s="13" t="n">
        <v>52</v>
      </c>
      <c r="B53" s="13" t="s">
        <v>269</v>
      </c>
      <c r="C53" s="14" t="s">
        <v>2129</v>
      </c>
    </row>
    <row r="54" customFormat="false" ht="408.75" hidden="false" customHeight="true" outlineLevel="0" collapsed="false">
      <c r="A54" s="13" t="n">
        <v>53</v>
      </c>
      <c r="B54" s="13" t="s">
        <v>496</v>
      </c>
      <c r="C54" s="14" t="s">
        <v>2130</v>
      </c>
    </row>
    <row r="55" customFormat="false" ht="408.75" hidden="false" customHeight="true" outlineLevel="0" collapsed="false">
      <c r="A55" s="13" t="n">
        <v>54</v>
      </c>
      <c r="B55" s="13" t="s">
        <v>359</v>
      </c>
      <c r="C55" s="14" t="s">
        <v>2131</v>
      </c>
    </row>
    <row r="56" customFormat="false" ht="408.75" hidden="false" customHeight="true" outlineLevel="0" collapsed="false">
      <c r="A56" s="13" t="n">
        <v>55</v>
      </c>
      <c r="B56" s="13" t="s">
        <v>285</v>
      </c>
      <c r="C56" s="14" t="s">
        <v>2132</v>
      </c>
    </row>
    <row r="57" customFormat="false" ht="408.75" hidden="false" customHeight="true" outlineLevel="0" collapsed="false">
      <c r="A57" s="13" t="n">
        <v>56</v>
      </c>
      <c r="B57" s="13" t="s">
        <v>523</v>
      </c>
      <c r="C57" s="14" t="s">
        <v>2133</v>
      </c>
    </row>
    <row r="58" customFormat="false" ht="408.75" hidden="false" customHeight="true" outlineLevel="0" collapsed="false">
      <c r="A58" s="13" t="n">
        <v>57</v>
      </c>
      <c r="B58" s="13" t="s">
        <v>293</v>
      </c>
      <c r="C58" s="14" t="s">
        <v>2134</v>
      </c>
    </row>
    <row r="59" customFormat="false" ht="408.75" hidden="false" customHeight="true" outlineLevel="0" collapsed="false">
      <c r="A59" s="13" t="n">
        <v>58</v>
      </c>
      <c r="B59" s="13" t="s">
        <v>350</v>
      </c>
      <c r="C59" s="14" t="s">
        <v>2135</v>
      </c>
    </row>
    <row r="60" customFormat="false" ht="408.75" hidden="false" customHeight="true" outlineLevel="0" collapsed="false">
      <c r="A60" s="13" t="n">
        <v>59</v>
      </c>
      <c r="B60" s="13" t="s">
        <v>302</v>
      </c>
      <c r="C60" s="14" t="s">
        <v>2136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6" min="3" style="0" width="10"/>
  </cols>
  <sheetData>
    <row r="1" customFormat="false" ht="15" hidden="false" customHeight="false" outlineLevel="0" collapsed="false">
      <c r="A1" s="51" t="s">
        <v>2137</v>
      </c>
      <c r="B1" s="51" t="s">
        <v>23</v>
      </c>
      <c r="C1" s="51" t="s">
        <v>2138</v>
      </c>
      <c r="D1" s="51" t="s">
        <v>2139</v>
      </c>
      <c r="E1" s="51" t="s">
        <v>2140</v>
      </c>
      <c r="F1" s="51" t="s">
        <v>2141</v>
      </c>
    </row>
    <row r="2" customFormat="false" ht="15" hidden="false" customHeight="false" outlineLevel="0" collapsed="false">
      <c r="A2" s="52" t="s">
        <v>2142</v>
      </c>
      <c r="B2" s="52" t="s">
        <v>31</v>
      </c>
      <c r="C2" s="53" t="n">
        <v>4238</v>
      </c>
      <c r="D2" s="53" t="n">
        <v>4559</v>
      </c>
      <c r="E2" s="53" t="n">
        <v>9287</v>
      </c>
      <c r="F2" s="53" t="n">
        <v>8277</v>
      </c>
    </row>
    <row r="3" customFormat="false" ht="15" hidden="false" customHeight="false" outlineLevel="0" collapsed="false">
      <c r="A3" s="52" t="s">
        <v>2143</v>
      </c>
      <c r="B3" s="52" t="s">
        <v>32</v>
      </c>
      <c r="C3" s="53" t="n">
        <v>9287</v>
      </c>
      <c r="D3" s="53" t="n">
        <v>4559</v>
      </c>
      <c r="E3" s="53" t="n">
        <v>13005</v>
      </c>
      <c r="F3" s="53" t="n">
        <v>8277</v>
      </c>
    </row>
    <row r="4" customFormat="false" ht="15" hidden="false" customHeight="false" outlineLevel="0" collapsed="false">
      <c r="A4" s="52" t="s">
        <v>2144</v>
      </c>
      <c r="B4" s="52" t="s">
        <v>33</v>
      </c>
      <c r="C4" s="53" t="n">
        <v>230</v>
      </c>
      <c r="D4" s="53" t="n">
        <v>3795</v>
      </c>
      <c r="E4" s="53" t="n">
        <v>4040</v>
      </c>
      <c r="F4" s="53" t="n">
        <v>8277</v>
      </c>
    </row>
    <row r="5" customFormat="false" ht="15" hidden="false" customHeight="false" outlineLevel="0" collapsed="false">
      <c r="A5" s="52" t="s">
        <v>2145</v>
      </c>
      <c r="B5" s="52" t="s">
        <v>34</v>
      </c>
      <c r="C5" s="53" t="n">
        <v>230</v>
      </c>
      <c r="D5" s="53" t="n">
        <v>230</v>
      </c>
      <c r="E5" s="53" t="n">
        <v>2264</v>
      </c>
      <c r="F5" s="53" t="n">
        <v>3687</v>
      </c>
    </row>
    <row r="6" customFormat="false" ht="15" hidden="false" customHeight="false" outlineLevel="0" collapsed="false">
      <c r="A6" s="52" t="s">
        <v>2146</v>
      </c>
      <c r="B6" s="52" t="s">
        <v>35</v>
      </c>
      <c r="C6" s="53" t="n">
        <v>2356</v>
      </c>
      <c r="D6" s="53" t="n">
        <v>230</v>
      </c>
      <c r="E6" s="53" t="n">
        <v>4040</v>
      </c>
      <c r="F6" s="53" t="n">
        <v>3687</v>
      </c>
    </row>
    <row r="7" customFormat="false" ht="15" hidden="false" customHeight="false" outlineLevel="0" collapsed="false">
      <c r="A7" s="52" t="s">
        <v>2147</v>
      </c>
      <c r="B7" s="52" t="s">
        <v>36</v>
      </c>
      <c r="C7" s="53" t="n">
        <v>6610</v>
      </c>
      <c r="D7" s="53" t="n">
        <v>230</v>
      </c>
      <c r="E7" s="53" t="n">
        <v>10925</v>
      </c>
      <c r="F7" s="53" t="n">
        <v>4345</v>
      </c>
    </row>
    <row r="8" customFormat="false" ht="15" hidden="false" customHeight="false" outlineLevel="0" collapsed="false">
      <c r="A8" s="52" t="s">
        <v>2148</v>
      </c>
      <c r="B8" s="52" t="s">
        <v>37</v>
      </c>
      <c r="C8" s="53" t="n">
        <v>10925</v>
      </c>
      <c r="D8" s="53" t="n">
        <v>2632</v>
      </c>
      <c r="E8" s="53" t="n">
        <v>13005</v>
      </c>
      <c r="F8" s="53" t="n">
        <v>4345</v>
      </c>
    </row>
    <row r="9" customFormat="false" ht="15" hidden="false" customHeight="false" outlineLevel="0" collapsed="false">
      <c r="A9" s="52" t="s">
        <v>2149</v>
      </c>
      <c r="B9" s="52" t="s">
        <v>38</v>
      </c>
      <c r="C9" s="53" t="n">
        <v>11000</v>
      </c>
      <c r="D9" s="53" t="n">
        <v>230</v>
      </c>
      <c r="E9" s="53" t="n">
        <v>13005</v>
      </c>
      <c r="F9" s="53" t="n">
        <v>2632</v>
      </c>
    </row>
    <row r="10" customFormat="false" ht="15" hidden="false" customHeight="false" outlineLevel="0" collapsed="false">
      <c r="A10" s="52" t="s">
        <v>2150</v>
      </c>
      <c r="B10" s="52" t="s">
        <v>39</v>
      </c>
      <c r="C10" s="53" t="n">
        <v>7635</v>
      </c>
      <c r="D10" s="53" t="n">
        <v>8507</v>
      </c>
      <c r="E10" s="53" t="n">
        <v>11521</v>
      </c>
      <c r="F10" s="53" t="n">
        <v>12240</v>
      </c>
    </row>
    <row r="11" customFormat="false" ht="15" hidden="false" customHeight="false" outlineLevel="0" collapsed="false">
      <c r="A11" s="52" t="s">
        <v>2151</v>
      </c>
      <c r="B11" s="52" t="s">
        <v>40</v>
      </c>
      <c r="C11" s="53" t="n">
        <v>4238</v>
      </c>
      <c r="D11" s="53" t="n">
        <v>10251</v>
      </c>
      <c r="E11" s="53" t="n">
        <v>7558</v>
      </c>
      <c r="F11" s="53" t="n">
        <v>12240</v>
      </c>
    </row>
    <row r="12" customFormat="false" ht="15" hidden="false" customHeight="false" outlineLevel="0" collapsed="false">
      <c r="A12" s="52" t="s">
        <v>2152</v>
      </c>
      <c r="B12" s="52" t="s">
        <v>41</v>
      </c>
      <c r="C12" s="53" t="n">
        <v>230</v>
      </c>
      <c r="D12" s="53" t="n">
        <v>8507</v>
      </c>
      <c r="E12" s="53" t="n">
        <v>4040</v>
      </c>
      <c r="F12" s="53" t="n">
        <v>12240</v>
      </c>
    </row>
    <row r="13" customFormat="false" ht="15" hidden="false" customHeight="false" outlineLevel="0" collapsed="false">
      <c r="A13" s="52" t="s">
        <v>2153</v>
      </c>
      <c r="B13" s="52" t="s">
        <v>42</v>
      </c>
      <c r="C13" s="53" t="n">
        <v>11750</v>
      </c>
      <c r="D13" s="53" t="n">
        <v>8507</v>
      </c>
      <c r="E13" s="53" t="n">
        <v>13005</v>
      </c>
      <c r="F13" s="53" t="n">
        <v>12240</v>
      </c>
    </row>
    <row r="14" customFormat="false" ht="15" hidden="false" customHeight="false" outlineLevel="0" collapsed="false">
      <c r="A14" s="52" t="s">
        <v>2154</v>
      </c>
      <c r="B14" s="52" t="s">
        <v>43</v>
      </c>
      <c r="C14" s="53" t="n">
        <v>4238</v>
      </c>
      <c r="D14" s="53" t="n">
        <v>230</v>
      </c>
      <c r="E14" s="53" t="n">
        <v>6411</v>
      </c>
      <c r="F14" s="53" t="n">
        <v>4559</v>
      </c>
    </row>
    <row r="15" customFormat="false" ht="15" hidden="false" customHeight="false" outlineLevel="0" collapsed="false">
      <c r="A15" s="52" t="s">
        <v>2155</v>
      </c>
      <c r="B15" s="52" t="s">
        <v>44</v>
      </c>
      <c r="C15" s="53" t="n">
        <v>4300</v>
      </c>
      <c r="D15" s="53" t="n">
        <v>7000</v>
      </c>
      <c r="E15" s="53" t="n">
        <v>6600</v>
      </c>
      <c r="F15" s="53" t="n">
        <v>10052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2026-10-04T03:19:41Z</dcterms:created>
  <dc:creator>openpyxl</dc:creator>
  <dc:description/>
  <dc:language>en-US</dc:language>
  <cp:lastModifiedBy/>
  <dcterms:modified xsi:type="dcterms:W3CDTF">2026-10-04T05:06:30Z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